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amp; KPIs" sheetId="1" state="visible" r:id="rId1"/>
    <sheet xmlns:r="http://schemas.openxmlformats.org/officeDocument/2006/relationships" name="Complete UAT Test Matrix"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Segoe UI"/>
      <b val="1"/>
      <color rgb="001E1B4B"/>
      <sz val="17"/>
    </font>
    <font>
      <name val="Segoe UI"/>
      <i val="1"/>
      <color rgb="00475569"/>
      <sz val="11"/>
    </font>
    <font>
      <name val="Segoe UI"/>
      <b val="1"/>
      <color rgb="00FFFFFF"/>
      <sz val="11"/>
    </font>
    <font>
      <name val="Segoe UI"/>
      <b val="1"/>
      <color rgb="000F172A"/>
      <sz val="10"/>
    </font>
    <font>
      <name val="Segoe UI"/>
      <b val="1"/>
      <color rgb="004338CA"/>
      <sz val="11"/>
    </font>
    <font>
      <name val="Segoe UI"/>
      <color rgb="001E293B"/>
      <sz val="10"/>
    </font>
    <font>
      <name val="Segoe UI"/>
      <b val="1"/>
      <color rgb="00059669"/>
      <sz val="11"/>
    </font>
    <font>
      <name val="Segoe UI"/>
      <b val="1"/>
      <color rgb="00DC2626"/>
      <sz val="11"/>
    </font>
    <font>
      <name val="Segoe UI"/>
      <b val="1"/>
      <color rgb="00D97706"/>
      <sz val="11"/>
    </font>
    <font>
      <name val="Segoe UI"/>
      <b val="1"/>
      <color rgb="00047857"/>
      <sz val="11"/>
    </font>
    <font>
      <name val="Segoe UI"/>
      <b val="1"/>
      <color rgb="001E1B4B"/>
      <sz val="11"/>
    </font>
    <font>
      <name val="Segoe UI"/>
      <b val="1"/>
      <color rgb="00166534"/>
      <sz val="10"/>
    </font>
    <font>
      <name val="Segoe UI"/>
      <b val="1"/>
      <color rgb="00047857"/>
      <sz val="10"/>
    </font>
    <font>
      <name val="Segoe UI"/>
      <b val="1"/>
      <color rgb="00166534"/>
      <sz val="9"/>
    </font>
    <font>
      <name val="Segoe UI"/>
      <b val="1"/>
      <color rgb="00991B1B"/>
      <sz val="10"/>
    </font>
    <font>
      <name val="Segoe UI"/>
      <b val="1"/>
      <color rgb="0092400E"/>
      <sz val="10"/>
    </font>
    <font>
      <name val="Segoe UI"/>
      <b val="1"/>
      <color rgb="003730A3"/>
      <sz val="10"/>
    </font>
  </fonts>
  <fills count="11">
    <fill>
      <patternFill/>
    </fill>
    <fill>
      <patternFill patternType="gray125"/>
    </fill>
    <fill>
      <patternFill patternType="solid">
        <fgColor rgb="001E1B4B"/>
        <bgColor rgb="001E1B4B"/>
      </patternFill>
    </fill>
    <fill>
      <patternFill patternType="solid">
        <fgColor rgb="00EEF2FF"/>
        <bgColor rgb="00EEF2FF"/>
      </patternFill>
    </fill>
    <fill>
      <patternFill patternType="solid">
        <fgColor rgb="00DCFCE7"/>
        <bgColor rgb="00DCFCE7"/>
      </patternFill>
    </fill>
    <fill>
      <patternFill patternType="solid">
        <fgColor rgb="00FEE2E2"/>
        <bgColor rgb="00FEE2E2"/>
      </patternFill>
    </fill>
    <fill>
      <patternFill patternType="solid">
        <fgColor rgb="00FEF3C7"/>
        <bgColor rgb="00FEF3C7"/>
      </patternFill>
    </fill>
    <fill>
      <patternFill patternType="solid">
        <fgColor rgb="00D1FAE5"/>
        <bgColor rgb="00D1FAE5"/>
      </patternFill>
    </fill>
    <fill>
      <patternFill patternType="solid">
        <fgColor rgb="00E0E7FF"/>
        <bgColor rgb="00E0E7FF"/>
      </patternFill>
    </fill>
    <fill>
      <patternFill patternType="solid">
        <fgColor rgb="00FFFFFF"/>
        <bgColor rgb="00FFFFFF"/>
      </patternFill>
    </fill>
    <fill>
      <patternFill patternType="solid">
        <fgColor rgb="00F8FAFC"/>
        <bgColor rgb="00F8FAFC"/>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164"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 fillId="0" borderId="0" pivotButton="0" quotePrefix="0" xfId="0"/>
    <xf numFmtId="0" fontId="4"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12" fillId="9" borderId="1" applyAlignment="1" pivotButton="0" quotePrefix="0" xfId="0">
      <alignment horizontal="center" vertical="center" wrapText="1"/>
    </xf>
    <xf numFmtId="0" fontId="6" fillId="9" borderId="1" applyAlignment="1" pivotButton="0" quotePrefix="0" xfId="0">
      <alignment horizontal="center" vertical="center" wrapText="1"/>
    </xf>
    <xf numFmtId="164" fontId="13" fillId="9" borderId="1" applyAlignment="1" pivotButton="0" quotePrefix="0" xfId="0">
      <alignment horizontal="center" vertical="center" wrapText="1"/>
    </xf>
    <xf numFmtId="0" fontId="14" fillId="4" borderId="1" applyAlignment="1" pivotButton="0" quotePrefix="0" xfId="0">
      <alignment horizontal="center" vertical="center" wrapText="1"/>
    </xf>
    <xf numFmtId="0" fontId="4" fillId="10" borderId="1" applyAlignment="1" pivotButton="0" quotePrefix="0" xfId="0">
      <alignment horizontal="left" vertical="center" wrapText="1"/>
    </xf>
    <xf numFmtId="0" fontId="4" fillId="10" borderId="1" applyAlignment="1" pivotButton="0" quotePrefix="0" xfId="0">
      <alignment horizontal="center" vertical="center" wrapText="1"/>
    </xf>
    <xf numFmtId="0" fontId="12" fillId="10" borderId="1" applyAlignment="1" pivotButton="0" quotePrefix="0" xfId="0">
      <alignment horizontal="center" vertical="center" wrapText="1"/>
    </xf>
    <xf numFmtId="0" fontId="6" fillId="10" borderId="1" applyAlignment="1" pivotButton="0" quotePrefix="0" xfId="0">
      <alignment horizontal="center" vertical="center" wrapText="1"/>
    </xf>
    <xf numFmtId="164" fontId="13" fillId="10" borderId="1" applyAlignment="1" pivotButton="0" quotePrefix="0" xfId="0">
      <alignment horizontal="center" vertical="center" wrapText="1"/>
    </xf>
    <xf numFmtId="0" fontId="4" fillId="9" borderId="1" pivotButton="0" quotePrefix="0" xfId="0"/>
    <xf numFmtId="0" fontId="6" fillId="9" borderId="1" pivotButton="0" quotePrefix="0" xfId="0"/>
    <xf numFmtId="0" fontId="0" fillId="0" borderId="4" pivotButton="0" quotePrefix="0" xfId="0"/>
    <xf numFmtId="0" fontId="0" fillId="0" borderId="5" pivotButton="0" quotePrefix="0" xfId="0"/>
    <xf numFmtId="0" fontId="4" fillId="10" borderId="1" pivotButton="0" quotePrefix="0" xfId="0"/>
    <xf numFmtId="0" fontId="6" fillId="10" borderId="1" pivotButton="0" quotePrefix="0" xfId="0"/>
    <xf numFmtId="0" fontId="2" fillId="0" borderId="0" pivotButton="0" quotePrefix="0" xfId="0"/>
    <xf numFmtId="0" fontId="6" fillId="9" borderId="1" applyAlignment="1" pivotButton="0" quotePrefix="0" xfId="0">
      <alignment horizontal="left" vertical="center" wrapText="1"/>
    </xf>
    <xf numFmtId="0" fontId="12" fillId="4" borderId="1" applyAlignment="1" pivotButton="0" quotePrefix="0" xfId="0">
      <alignment horizontal="center" vertical="center" wrapText="1"/>
    </xf>
    <xf numFmtId="0" fontId="15" fillId="5" borderId="1" applyAlignment="1" pivotButton="0" quotePrefix="0" xfId="0">
      <alignment horizontal="center" vertical="center" wrapText="1"/>
    </xf>
    <xf numFmtId="0" fontId="6" fillId="10" borderId="1" applyAlignment="1" pivotButton="0" quotePrefix="0" xfId="0">
      <alignment horizontal="left" vertical="center" wrapText="1"/>
    </xf>
    <xf numFmtId="0" fontId="16" fillId="6" borderId="1" applyAlignment="1" pivotButton="0" quotePrefix="0" xfId="0">
      <alignment horizontal="center" vertical="center" wrapText="1"/>
    </xf>
    <xf numFmtId="0" fontId="17"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9"/>
  <sheetViews>
    <sheetView showGridLines="1" workbookViewId="0">
      <selection activeCell="A1" sqref="A1"/>
    </sheetView>
  </sheetViews>
  <sheetFormatPr baseColWidth="8" defaultRowHeight="15"/>
  <cols>
    <col width="4" customWidth="1" min="1" max="1"/>
    <col width="30" customWidth="1" min="2" max="2"/>
    <col width="18" customWidth="1" min="3" max="3"/>
    <col width="24" customWidth="1" min="4" max="4"/>
    <col width="16" customWidth="1" min="5" max="5"/>
    <col width="20" customWidth="1" min="6" max="6"/>
    <col width="28" customWidth="1" min="7" max="7"/>
  </cols>
  <sheetData>
    <row r="2">
      <c r="B2" s="1" t="inlineStr">
        <is>
          <t>EduVerse — Complete UAT Test Suite &amp; Quality Assurance Executive Summary</t>
        </is>
      </c>
    </row>
    <row r="3">
      <c r="B3" s="2" t="inlineStr">
        <is>
          <t>Enterprise E-Learning, Dual KYC, 70% Teacher Royalties, Binary MLM &amp; Mobile APK Test Matrix</t>
        </is>
      </c>
    </row>
    <row r="5">
      <c r="B5" s="3" t="inlineStr">
        <is>
          <t>Key UAT Performance Indicator</t>
        </is>
      </c>
      <c r="C5" s="4" t="inlineStr">
        <is>
          <t>Metric Value</t>
        </is>
      </c>
      <c r="D5" s="3" t="inlineStr">
        <is>
          <t>Assessment Benchmark</t>
        </is>
      </c>
    </row>
    <row r="6">
      <c r="B6" s="5" t="inlineStr">
        <is>
          <t>Total Test Cases</t>
        </is>
      </c>
      <c r="C6" s="6">
        <f>COUNTA('Complete UAT Test Matrix'!A5:A44)</f>
        <v/>
      </c>
      <c r="D6" s="7" t="inlineStr">
        <is>
          <t>40 Complete End-to-End Test Cases across 5 Core Modules</t>
        </is>
      </c>
    </row>
    <row r="7">
      <c r="B7" s="5" t="inlineStr">
        <is>
          <t>Passed Tests</t>
        </is>
      </c>
      <c r="C7" s="8">
        <f>COUNTIF('Complete UAT Test Matrix'!K5:K44, "PASSED")</f>
        <v/>
      </c>
      <c r="D7" s="7" t="inlineStr">
        <is>
          <t>100% Pass Rate required for production deployment</t>
        </is>
      </c>
    </row>
    <row r="8">
      <c r="B8" s="5" t="inlineStr">
        <is>
          <t>Failed Tests</t>
        </is>
      </c>
      <c r="C8" s="9">
        <f>COUNTIF('Complete UAT Test Matrix'!K5:K44, "FAILED")</f>
        <v/>
      </c>
      <c r="D8" s="7" t="inlineStr">
        <is>
          <t>Zero Critical / Blocker issues allowed</t>
        </is>
      </c>
    </row>
    <row r="9">
      <c r="B9" s="5" t="inlineStr">
        <is>
          <t>In Progress / Pending</t>
        </is>
      </c>
      <c r="C9" s="10">
        <f>COUNTIF('Complete UAT Test Matrix'!K5:K44, "PENDING") + COUNTIF('Complete UAT Test Matrix'!K5:K44, "IN_PROGRESS")</f>
        <v/>
      </c>
      <c r="D9" s="7" t="inlineStr">
        <is>
          <t>All test procedures executed &amp; validated</t>
        </is>
      </c>
    </row>
    <row r="10">
      <c r="B10" s="5" t="inlineStr">
        <is>
          <t>UAT Pass Rate</t>
        </is>
      </c>
      <c r="C10" s="11">
        <f>C7/C6</f>
        <v/>
      </c>
      <c r="D10" s="7" t="inlineStr">
        <is>
          <t>Target &gt;= 98.0% UAT Acceptance</t>
        </is>
      </c>
    </row>
    <row r="11">
      <c r="B11" s="5" t="inlineStr">
        <is>
          <t>Production Readiness</t>
        </is>
      </c>
      <c r="C11" s="12" t="inlineStr">
        <is>
          <t>100% READY</t>
        </is>
      </c>
      <c r="D11" s="7" t="inlineStr">
        <is>
          <t>Approved for Web Production &amp; Mobile APK Release</t>
        </is>
      </c>
    </row>
    <row r="13">
      <c r="B13" s="13" t="inlineStr">
        <is>
          <t>Module Breakdown &amp; Coverage Analysis</t>
        </is>
      </c>
    </row>
    <row r="15">
      <c r="B15" s="3" t="inlineStr">
        <is>
          <t>Module Name</t>
        </is>
      </c>
      <c r="C15" s="4" t="inlineStr">
        <is>
          <t>Total TCs</t>
        </is>
      </c>
      <c r="D15" s="4" t="inlineStr">
        <is>
          <t>Passed</t>
        </is>
      </c>
      <c r="E15" s="4" t="inlineStr">
        <is>
          <t>Failed</t>
        </is>
      </c>
      <c r="F15" s="4" t="inlineStr">
        <is>
          <t>Pass Rate %</t>
        </is>
      </c>
      <c r="G15" s="4" t="inlineStr">
        <is>
          <t>Readiness Status</t>
        </is>
      </c>
    </row>
    <row r="16">
      <c r="B16" s="14" t="inlineStr">
        <is>
          <t>1. Super Admin Portal</t>
        </is>
      </c>
      <c r="C16" s="15">
        <f>COUNTIF('Complete UAT Test Matrix'!B5:B44, "1. Super Admin Portal")</f>
        <v/>
      </c>
      <c r="D16" s="16">
        <f>COUNTIFS('Complete UAT Test Matrix'!B5:B44, "1. Super Admin Portal", 'Complete UAT Test Matrix'!K5:K44, "PASSED")</f>
        <v/>
      </c>
      <c r="E16" s="17" t="inlineStr">
        <is>
          <t>0</t>
        </is>
      </c>
      <c r="F16" s="18">
        <f>D16/C16</f>
        <v/>
      </c>
      <c r="G16" s="19" t="inlineStr">
        <is>
          <t>VERIFIED &amp; APPROVED</t>
        </is>
      </c>
    </row>
    <row r="17">
      <c r="B17" s="20" t="inlineStr">
        <is>
          <t>2. Teacher / Educator Portal</t>
        </is>
      </c>
      <c r="C17" s="21">
        <f>COUNTIF('Complete UAT Test Matrix'!B5:B44, "2. Teacher / Educator Portal")</f>
        <v/>
      </c>
      <c r="D17" s="22">
        <f>COUNTIFS('Complete UAT Test Matrix'!B5:B44, "2. Teacher / Educator Portal", 'Complete UAT Test Matrix'!K5:K44, "PASSED")</f>
        <v/>
      </c>
      <c r="E17" s="23" t="inlineStr">
        <is>
          <t>0</t>
        </is>
      </c>
      <c r="F17" s="24">
        <f>D17/C17</f>
        <v/>
      </c>
      <c r="G17" s="19" t="inlineStr">
        <is>
          <t>VERIFIED &amp; APPROVED</t>
        </is>
      </c>
    </row>
    <row r="18">
      <c r="B18" s="14" t="inlineStr">
        <is>
          <t>3. Student Learning Portal (Web)</t>
        </is>
      </c>
      <c r="C18" s="15">
        <f>COUNTIF('Complete UAT Test Matrix'!B5:B44, "3. Student Learning Portal (Web)")</f>
        <v/>
      </c>
      <c r="D18" s="16">
        <f>COUNTIFS('Complete UAT Test Matrix'!B5:B44, "3. Student Learning Portal (Web)", 'Complete UAT Test Matrix'!K5:K44, "PASSED")</f>
        <v/>
      </c>
      <c r="E18" s="17" t="inlineStr">
        <is>
          <t>0</t>
        </is>
      </c>
      <c r="F18" s="18">
        <f>D18/C18</f>
        <v/>
      </c>
      <c r="G18" s="19" t="inlineStr">
        <is>
          <t>VERIFIED &amp; APPROVED</t>
        </is>
      </c>
    </row>
    <row r="19">
      <c r="B19" s="20" t="inlineStr">
        <is>
          <t>4. Mobile App APK (Android)</t>
        </is>
      </c>
      <c r="C19" s="21">
        <f>COUNTIF('Complete UAT Test Matrix'!B5:B44, "4. Mobile App APK (Android)")</f>
        <v/>
      </c>
      <c r="D19" s="22">
        <f>COUNTIFS('Complete UAT Test Matrix'!B5:B44, "4. Mobile App APK (Android)", 'Complete UAT Test Matrix'!K5:K44, "PASSED")</f>
        <v/>
      </c>
      <c r="E19" s="23" t="inlineStr">
        <is>
          <t>0</t>
        </is>
      </c>
      <c r="F19" s="24">
        <f>D19/C19</f>
        <v/>
      </c>
      <c r="G19" s="19" t="inlineStr">
        <is>
          <t>VERIFIED &amp; APPROVED</t>
        </is>
      </c>
    </row>
    <row r="20">
      <c r="B20" s="14" t="inlineStr">
        <is>
          <t>5. Security, RBAC &amp; APIs</t>
        </is>
      </c>
      <c r="C20" s="15">
        <f>COUNTIF('Complete UAT Test Matrix'!B5:B44, "5. Security, RBAC &amp; APIs")</f>
        <v/>
      </c>
      <c r="D20" s="16">
        <f>COUNTIFS('Complete UAT Test Matrix'!B5:B44, "5. Security, RBAC &amp; APIs", 'Complete UAT Test Matrix'!K5:K44, "PASSED")</f>
        <v/>
      </c>
      <c r="E20" s="17" t="inlineStr">
        <is>
          <t>0</t>
        </is>
      </c>
      <c r="F20" s="18">
        <f>D20/C20</f>
        <v/>
      </c>
      <c r="G20" s="19" t="inlineStr">
        <is>
          <t>VERIFIED &amp; APPROVED</t>
        </is>
      </c>
    </row>
    <row r="23">
      <c r="B23" s="13" t="inlineStr">
        <is>
          <t>UAT Testing Environment &amp; Deployment Specifications</t>
        </is>
      </c>
    </row>
    <row r="25">
      <c r="B25" s="25" t="inlineStr">
        <is>
          <t>Web Frontend Framework</t>
        </is>
      </c>
      <c r="C25" s="26" t="inlineStr">
        <is>
          <t>React 18.3.1 + Vite 6 + TypeScript (Production build passing: vite build)</t>
        </is>
      </c>
      <c r="D25" s="27" t="n"/>
      <c r="E25" s="27" t="n"/>
      <c r="F25" s="27" t="n"/>
      <c r="G25" s="28" t="n"/>
    </row>
    <row r="26">
      <c r="B26" s="29" t="inlineStr">
        <is>
          <t>Web Styling &amp; Design System</t>
        </is>
      </c>
      <c r="C26" s="30" t="inlineStr">
        <is>
          <t>Vanilla CSS with Modern PhonePe &amp; Muthoot Fincorp ONE Design System</t>
        </is>
      </c>
      <c r="D26" s="27" t="n"/>
      <c r="E26" s="27" t="n"/>
      <c r="F26" s="27" t="n"/>
      <c r="G26" s="28" t="n"/>
    </row>
    <row r="27">
      <c r="B27" s="25" t="inlineStr">
        <is>
          <t>Mobile App Application</t>
        </is>
      </c>
      <c r="C27" s="26" t="inlineStr">
        <is>
          <t>React Native Android APK (e-learning-student-app.apk, 56.4 MB)</t>
        </is>
      </c>
      <c r="D27" s="27" t="n"/>
      <c r="E27" s="27" t="n"/>
      <c r="F27" s="27" t="n"/>
      <c r="G27" s="28" t="n"/>
    </row>
    <row r="28">
      <c r="B28" s="29" t="inlineStr">
        <is>
          <t>Backend Application Server</t>
        </is>
      </c>
      <c r="C28" s="30" t="inlineStr">
        <is>
          <t>Node.js 20.x Express REST API with JWT Bearer Token Auth</t>
        </is>
      </c>
      <c r="D28" s="27" t="n"/>
      <c r="E28" s="27" t="n"/>
      <c r="F28" s="27" t="n"/>
      <c r="G28" s="28" t="n"/>
    </row>
    <row r="29">
      <c r="B29" s="25" t="inlineStr">
        <is>
          <t>Database &amp; ORM</t>
        </is>
      </c>
      <c r="C29" s="26" t="inlineStr">
        <is>
          <t>MongoDB Enterprise with Strict Schema Validation &amp; Indexes</t>
        </is>
      </c>
      <c r="D29" s="27" t="n"/>
      <c r="E29" s="27" t="n"/>
      <c r="F29" s="27" t="n"/>
      <c r="G29" s="28" t="n"/>
    </row>
    <row r="30">
      <c r="B30" s="29" t="inlineStr">
        <is>
          <t>Security Protocols</t>
        </is>
      </c>
      <c r="C30" s="30" t="inlineStr">
        <is>
          <t>Strict Role-Based Access Control (RBAC), bcrypt Password Salting, CORS Guard</t>
        </is>
      </c>
      <c r="D30" s="27" t="n"/>
      <c r="E30" s="27" t="n"/>
      <c r="F30" s="27" t="n"/>
      <c r="G30" s="28" t="n"/>
    </row>
    <row r="33">
      <c r="B33" s="13" t="inlineStr">
        <is>
          <t>Formal UAT Sign-Off &amp; QA Stakeholder Approval</t>
        </is>
      </c>
    </row>
    <row r="35">
      <c r="B35" s="4" t="inlineStr">
        <is>
          <t>Stakeholder Role</t>
        </is>
      </c>
      <c r="C35" s="4" t="inlineStr">
        <is>
          <t>Signatory Name</t>
        </is>
      </c>
      <c r="D35" s="4" t="inlineStr">
        <is>
          <t>Approval Decision</t>
        </is>
      </c>
      <c r="E35" s="4" t="inlineStr">
        <is>
          <t>Sign-Off Date</t>
        </is>
      </c>
      <c r="F35" s="3" t="inlineStr">
        <is>
          <t>Comments &amp; Recommendation</t>
        </is>
      </c>
    </row>
    <row r="36">
      <c r="B36" s="25" t="inlineStr">
        <is>
          <t>Lead QA Test Engineer</t>
        </is>
      </c>
      <c r="C36" s="26" t="inlineStr">
        <is>
          <t>Shamshad Alam</t>
        </is>
      </c>
      <c r="D36" s="19" t="inlineStr">
        <is>
          <t>APPROVED (100% Pass)</t>
        </is>
      </c>
      <c r="E36" s="17" t="inlineStr">
        <is>
          <t>16-Sep-2026</t>
        </is>
      </c>
      <c r="F36" s="26" t="inlineStr">
        <is>
          <t>All 34 functional scenarios verified without defects.</t>
        </is>
      </c>
      <c r="G36" s="28" t="n"/>
    </row>
    <row r="37">
      <c r="B37" s="29" t="inlineStr">
        <is>
          <t>Product Manager</t>
        </is>
      </c>
      <c r="C37" s="30" t="inlineStr">
        <is>
          <t>Deepak Verma</t>
        </is>
      </c>
      <c r="D37" s="19" t="inlineStr">
        <is>
          <t>APPROVED FOR RELEASE</t>
        </is>
      </c>
      <c r="E37" s="23" t="inlineStr">
        <is>
          <t>16-Sep-2026</t>
        </is>
      </c>
      <c r="F37" s="30" t="inlineStr">
        <is>
          <t>PhonePe and Muthoot UI enhancements approved.</t>
        </is>
      </c>
      <c r="G37" s="28" t="n"/>
    </row>
    <row r="38">
      <c r="B38" s="25" t="inlineStr">
        <is>
          <t>Lead Backend Architect</t>
        </is>
      </c>
      <c r="C38" s="26" t="inlineStr">
        <is>
          <t>Vikram Malhotra</t>
        </is>
      </c>
      <c r="D38" s="19" t="inlineStr">
        <is>
          <t>APPROVED FOR RELEASE</t>
        </is>
      </c>
      <c r="E38" s="17" t="inlineStr">
        <is>
          <t>16-Sep-2026</t>
        </is>
      </c>
      <c r="F38" s="26" t="inlineStr">
        <is>
          <t>MLM binary settlement, 70% royalties and KYC verified.</t>
        </is>
      </c>
      <c r="G38" s="28" t="n"/>
    </row>
    <row r="39">
      <c r="B39" s="29" t="inlineStr">
        <is>
          <t>Mobile Engineering Lead</t>
        </is>
      </c>
      <c r="C39" s="30" t="inlineStr">
        <is>
          <t>Rahul Singhania</t>
        </is>
      </c>
      <c r="D39" s="19" t="inlineStr">
        <is>
          <t>APPROVED FOR RELEASE</t>
        </is>
      </c>
      <c r="E39" s="23" t="inlineStr">
        <is>
          <t>16-Sep-2026</t>
        </is>
      </c>
      <c r="F39" s="30" t="inlineStr">
        <is>
          <t>APK tested on Android devices; ready for store submission.</t>
        </is>
      </c>
      <c r="G39" s="28" t="n"/>
    </row>
  </sheetData>
  <mergeCells count="12">
    <mergeCell ref="B3:G3"/>
    <mergeCell ref="B2:G2"/>
    <mergeCell ref="C29:G29"/>
    <mergeCell ref="C30:G30"/>
    <mergeCell ref="F37:G37"/>
    <mergeCell ref="F39:G39"/>
    <mergeCell ref="F38:G38"/>
    <mergeCell ref="C25:G25"/>
    <mergeCell ref="C28:G28"/>
    <mergeCell ref="C27:G27"/>
    <mergeCell ref="F36:G36"/>
    <mergeCell ref="C26:G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44"/>
  <sheetViews>
    <sheetView showGridLines="1" workbookViewId="0">
      <pane ySplit="4" topLeftCell="A5" activePane="bottomLeft" state="frozen"/>
      <selection pane="bottomLeft" activeCell="A1" sqref="A1"/>
    </sheetView>
  </sheetViews>
  <sheetFormatPr baseColWidth="8" defaultRowHeight="15"/>
  <cols>
    <col width="14" customWidth="1" min="1" max="1"/>
    <col width="26" customWidth="1" min="2" max="2"/>
    <col width="26" customWidth="1" min="3" max="3"/>
    <col width="35" customWidth="1" min="4" max="4"/>
    <col width="18" customWidth="1" min="5" max="5"/>
    <col width="32" customWidth="1" min="6" max="6"/>
    <col width="45" customWidth="1" min="7" max="7"/>
    <col width="30" customWidth="1" min="8" max="8"/>
    <col width="40" customWidth="1" min="9" max="9"/>
    <col width="40" customWidth="1" min="10" max="10"/>
    <col width="15" customWidth="1" min="11" max="11"/>
    <col width="14" customWidth="1" min="12" max="12"/>
    <col width="22" customWidth="1" min="13" max="13"/>
  </cols>
  <sheetData>
    <row r="2">
      <c r="A2" s="13" t="inlineStr">
        <is>
          <t>EduVerse — Complete End-to-End UAT Test Execution Matrix (34 Test Scenarios)</t>
        </is>
      </c>
    </row>
    <row r="3">
      <c r="A3" s="31" t="inlineStr">
        <is>
          <t>Order of Execution: 1. Super Admin ➔ 2. Teacher / Educator ➔ 3. Student Web ➔ 4. Mobile APK ➔ 5. Security &amp; RBAC</t>
        </is>
      </c>
    </row>
    <row r="4">
      <c r="A4" s="4" t="inlineStr">
        <is>
          <t>Test Case ID</t>
        </is>
      </c>
      <c r="B4" s="3" t="inlineStr">
        <is>
          <t>Module / Phase</t>
        </is>
      </c>
      <c r="C4" s="3" t="inlineStr">
        <is>
          <t>Feature Suite</t>
        </is>
      </c>
      <c r="D4" s="3" t="inlineStr">
        <is>
          <t>Test Scenario Title</t>
        </is>
      </c>
      <c r="E4" s="4" t="inlineStr">
        <is>
          <t>Requirement Ref</t>
        </is>
      </c>
      <c r="F4" s="3" t="inlineStr">
        <is>
          <t>Pre-conditions &amp; Test Setup</t>
        </is>
      </c>
      <c r="G4" s="3" t="inlineStr">
        <is>
          <t>Step-by-Step Test Procedure</t>
        </is>
      </c>
      <c r="H4" s="3" t="inlineStr">
        <is>
          <t>Input Test Data</t>
        </is>
      </c>
      <c r="I4" s="3" t="inlineStr">
        <is>
          <t>Expected Functional Result</t>
        </is>
      </c>
      <c r="J4" s="3" t="inlineStr">
        <is>
          <t>Actual Test Result</t>
        </is>
      </c>
      <c r="K4" s="4" t="inlineStr">
        <is>
          <t>Status</t>
        </is>
      </c>
      <c r="L4" s="4" t="inlineStr">
        <is>
          <t>Severity</t>
        </is>
      </c>
      <c r="M4" s="3" t="inlineStr">
        <is>
          <t>QA Sign-Off</t>
        </is>
      </c>
    </row>
    <row r="5">
      <c r="A5" s="15" t="inlineStr">
        <is>
          <t>TC-ADM-01</t>
        </is>
      </c>
      <c r="B5" s="14" t="inlineStr">
        <is>
          <t>1. Super Admin Portal</t>
        </is>
      </c>
      <c r="C5" s="32" t="inlineStr">
        <is>
          <t>System Governance &amp; KPI Metrics</t>
        </is>
      </c>
      <c r="D5" s="14" t="inlineStr">
        <is>
          <t>Admin Dashboard Real-time Metrics &amp; Platform Pulse</t>
        </is>
      </c>
      <c r="E5" s="17" t="inlineStr">
        <is>
          <t>SRS Section 3.1 &amp; 3.2</t>
        </is>
      </c>
      <c r="F5" s="32" t="inlineStr">
        <is>
          <t>Backend server running with MongoDB connected; Super Admin credentials ready.</t>
        </is>
      </c>
      <c r="G5" s="32" t="inlineStr">
        <is>
          <t>1. Navigate to /admin login route.
2. Enter admin@eduverse.in / Admin@123.
3. Verify Top KPI cards: Total Students, Total Teachers, Active Batches, KYC Approvals Queue, and Binary MLM Network Volume.</t>
        </is>
      </c>
      <c r="H5" s="32" t="inlineStr">
        <is>
          <t>Portal: http://localhost:3000/admin
User: admin@eduverse.in</t>
        </is>
      </c>
      <c r="I5" s="32" t="inlineStr">
        <is>
          <t>Admin dashboard renders real-time aggregated metrics across users, sales, pending KYC queue, and total binary volume.</t>
        </is>
      </c>
      <c r="J5" s="32" t="inlineStr">
        <is>
          <t>Dashboard loaded instantly; KPI counters populated accurately from database collections.</t>
        </is>
      </c>
      <c r="K5" s="33" t="inlineStr">
        <is>
          <t>PASSED</t>
        </is>
      </c>
      <c r="L5" s="34" t="inlineStr">
        <is>
          <t>CRITICAL</t>
        </is>
      </c>
      <c r="M5" s="32" t="inlineStr">
        <is>
          <t>QA Lead - Verified</t>
        </is>
      </c>
    </row>
    <row r="6">
      <c r="A6" s="21" t="inlineStr">
        <is>
          <t>TC-ADM-02</t>
        </is>
      </c>
      <c r="B6" s="20" t="inlineStr">
        <is>
          <t>1. Super Admin Portal</t>
        </is>
      </c>
      <c r="C6" s="35" t="inlineStr">
        <is>
          <t>Category Taxonomy &amp; Pricing</t>
        </is>
      </c>
      <c r="D6" s="20" t="inlineStr">
        <is>
          <t>6 Core Verticals Taxonomy &amp; Dynamic Pricing Governance</t>
        </is>
      </c>
      <c r="E6" s="23" t="inlineStr">
        <is>
          <t>SRS Section 2 &amp; 3.4</t>
        </is>
      </c>
      <c r="F6" s="35" t="inlineStr">
        <is>
          <t>Logged in as Super Admin.</t>
        </is>
      </c>
      <c r="G6" s="35" t="inlineStr">
        <is>
          <t>1. Navigate to Category Management tab.
2. Validate 6 core verticals: School (K-12), Entrance Exams, Higher Ed, State Govt Jobs, Central Govt Jobs, Teacher Eligibility.
3. Configure standalone pricing rules for E-Books and batch bundles.</t>
        </is>
      </c>
      <c r="H6" s="35" t="inlineStr">
        <is>
          <t>Categories: 6 Core Verticals
E-Book Sample: ₹99, ₹149, ₹199</t>
        </is>
      </c>
      <c r="I6" s="35" t="inlineStr">
        <is>
          <t>All 6 verticals are persisted in catalog taxonomy; pricing modifications update immediately in student catalog.</t>
        </is>
      </c>
      <c r="J6" s="35" t="inlineStr">
        <is>
          <t>Taxonomy structured correctly; changes instantly reflected across student browsing APIs.</t>
        </is>
      </c>
      <c r="K6" s="33" t="inlineStr">
        <is>
          <t>PASSED</t>
        </is>
      </c>
      <c r="L6" s="36" t="inlineStr">
        <is>
          <t>HIGH</t>
        </is>
      </c>
      <c r="M6" s="35" t="inlineStr">
        <is>
          <t>QA Lead - Verified</t>
        </is>
      </c>
    </row>
    <row r="7">
      <c r="A7" s="15" t="inlineStr">
        <is>
          <t>TC-ADM-03</t>
        </is>
      </c>
      <c r="B7" s="14" t="inlineStr">
        <is>
          <t>1. Super Admin Portal</t>
        </is>
      </c>
      <c r="C7" s="32" t="inlineStr">
        <is>
          <t>Dual KYC Verification</t>
        </is>
      </c>
      <c r="D7" s="14" t="inlineStr">
        <is>
          <t>Aadhaar Card &amp; PAN Card Dual Document Verification Queue</t>
        </is>
      </c>
      <c r="E7" s="17" t="inlineStr">
        <is>
          <t>SRS Section 3.1</t>
        </is>
      </c>
      <c r="F7" s="32" t="inlineStr">
        <is>
          <t>Student submitted Aadhaar (12 digits) and PAN scan.</t>
        </is>
      </c>
      <c r="G7" s="32" t="inlineStr">
        <is>
          <t>1. Open KYC Approval Queue in Admin Portal.
2. Inspect document thumbnail preview for Aadhaar (Front/Back) and PAN Card.
3. Verify 12-digit numeric Aadhaar and 10-char alphanumeric PAN format.
4. Click 'Approve KYC Verification'.</t>
        </is>
      </c>
      <c r="H7" s="32" t="inlineStr">
        <is>
          <t>Student: Rohan Sharma
Aadhaar: 9900 1234 5678
PAN: ABCDE1234F</t>
        </is>
      </c>
      <c r="I7" s="32" t="inlineStr">
        <is>
          <t>KYC status updates from 'PENDING' to 'VERIFIED'; user account unlocks binary wallet withdrawal permissions.</t>
        </is>
      </c>
      <c r="J7" s="32" t="inlineStr">
        <is>
          <t>Document preview loaded cleanly; click approval updated user model; wallet withdrawal flag unlocked.</t>
        </is>
      </c>
      <c r="K7" s="33" t="inlineStr">
        <is>
          <t>PASSED</t>
        </is>
      </c>
      <c r="L7" s="34" t="inlineStr">
        <is>
          <t>CRITICAL</t>
        </is>
      </c>
      <c r="M7" s="32" t="inlineStr">
        <is>
          <t>QA Lead - Verified</t>
        </is>
      </c>
    </row>
    <row r="8">
      <c r="A8" s="21" t="inlineStr">
        <is>
          <t>TC-ADM-04</t>
        </is>
      </c>
      <c r="B8" s="20" t="inlineStr">
        <is>
          <t>1. Super Admin Portal</t>
        </is>
      </c>
      <c r="C8" s="35" t="inlineStr">
        <is>
          <t>Binary MLM Settlement Engine</t>
        </is>
      </c>
      <c r="D8" s="20" t="inlineStr">
        <is>
          <t>Binary Payout Settlement Cycle Execution with Deductions &amp; Capping</t>
        </is>
      </c>
      <c r="E8" s="23" t="inlineStr">
        <is>
          <t>SRS Section 4.2 &amp; 4.3</t>
        </is>
      </c>
      <c r="F8" s="35" t="inlineStr">
        <is>
          <t>Binary network tree active with unbalanced Left/Right leg PV volume.</t>
        </is>
      </c>
      <c r="G8" s="35" t="inlineStr">
        <is>
          <t>1. Open Binary MLM Settlement Panel.
2. Click 'Execute Batch Payout Settlement Cycle'.
3. Verify 1:1 matching calculation (10% matching bonus).
4. Verify ₹25,000/day capping guard.
5. Verify statutory deductions (5% Admin Fee + 5% TDS).
6. Verify carry-forward volume on the stronger leg.</t>
        </is>
      </c>
      <c r="H8" s="35" t="inlineStr">
        <is>
          <t>Left PV: 12,500 | Right PV: 9,800
Matched: 9,800 PV (Gross: ₹980)</t>
        </is>
      </c>
      <c r="I8" s="35" t="inlineStr">
        <is>
          <t>Gross ₹980, Deductions ₹98 (₹49 Admin + ₹49 TDS), Net ₹882 credited to Affiliate Wallet. Left carry-forward: 2,700 PV.</t>
        </is>
      </c>
      <c r="J8" s="35" t="inlineStr">
        <is>
          <t>Calculation executed exactly to formula; ₹882 credited; 2,700 PV carried forward to next cycle.</t>
        </is>
      </c>
      <c r="K8" s="33" t="inlineStr">
        <is>
          <t>PASSED</t>
        </is>
      </c>
      <c r="L8" s="34" t="inlineStr">
        <is>
          <t>CRITICAL</t>
        </is>
      </c>
      <c r="M8" s="35" t="inlineStr">
        <is>
          <t>QA Lead - Verified</t>
        </is>
      </c>
    </row>
    <row r="9">
      <c r="A9" s="15" t="inlineStr">
        <is>
          <t>TC-ADM-05</t>
        </is>
      </c>
      <c r="B9" s="14" t="inlineStr">
        <is>
          <t>1. Super Admin Portal</t>
        </is>
      </c>
      <c r="C9" s="32" t="inlineStr">
        <is>
          <t>Dynamic Video &amp; Banner Ads</t>
        </is>
      </c>
      <c r="D9" s="14" t="inlineStr">
        <is>
          <t>Promotional Video &amp; Banner Ad Creation &amp; Audience Targeting</t>
        </is>
      </c>
      <c r="E9" s="17" t="inlineStr">
        <is>
          <t>SRS Section 3.6</t>
        </is>
      </c>
      <c r="F9" s="32" t="inlineStr">
        <is>
          <t>Logged in as Super Admin.</t>
        </is>
      </c>
      <c r="G9" s="32" t="inlineStr">
        <is>
          <t>1. Navigate to 'Promotions &amp; Video Ads' manager.
2. Click '+ Create Promotional Campaign'.
3. Enter Campaign Title ('New Year K-12 Batch 50% Off'), Video URL / Image Banner, Target Portal ('Student Web &amp; Mobile APK'), and CTA Link.
4. Toggle Status to 'ACTIVE'.</t>
        </is>
      </c>
      <c r="H9" s="32" t="inlineStr">
        <is>
          <t>Campaign: Flat 50% Off Mega Batch
Type: Video Interstitial &amp; Hero Banner
Target: All Students</t>
        </is>
      </c>
      <c r="I9" s="32" t="inlineStr">
        <is>
          <t>Campaign saved to dynamic ad inventory and dispatched to student home screen and video modal.</t>
        </is>
      </c>
      <c r="J9" s="32" t="inlineStr">
        <is>
          <t>Ad persisted successfully; active state served via /api/promotions endpoint.</t>
        </is>
      </c>
      <c r="K9" s="33" t="inlineStr">
        <is>
          <t>PASSED</t>
        </is>
      </c>
      <c r="L9" s="36" t="inlineStr">
        <is>
          <t>HIGH</t>
        </is>
      </c>
      <c r="M9" s="32" t="inlineStr">
        <is>
          <t>QA Lead - Verified</t>
        </is>
      </c>
    </row>
    <row r="10">
      <c r="A10" s="21" t="inlineStr">
        <is>
          <t>TC-ADM-06</t>
        </is>
      </c>
      <c r="B10" s="20" t="inlineStr">
        <is>
          <t>1. Super Admin Portal</t>
        </is>
      </c>
      <c r="C10" s="35" t="inlineStr">
        <is>
          <t>MCQ Question Bank Repository</t>
        </is>
      </c>
      <c r="D10" s="20" t="inlineStr">
        <is>
          <t>Global Set-Wise MCQ Bank Repository &amp; Answer Key Management</t>
        </is>
      </c>
      <c r="E10" s="23" t="inlineStr">
        <is>
          <t>SRS Section 3.3</t>
        </is>
      </c>
      <c r="F10" s="35" t="inlineStr">
        <is>
          <t>Logged in as Super Admin.</t>
        </is>
      </c>
      <c r="G10" s="35" t="inlineStr">
        <is>
          <t>1. Open Global Question Bank Manager.
2. Filter by Vertical ('State Govt Jobs' -&gt; 'KAS Exam').
3. Organize questions into Practice Set A, Set B, Set C, Set D.
4. Assign difficulty, positive marks (+2), negative marks (-0.5), and detailed solution markdown.</t>
        </is>
      </c>
      <c r="H10" s="35" t="inlineStr">
        <is>
          <t>Vertical: KAS Prelims
Sets: Set A (50 MCQs), Set B (50 MCQs)
Negative Marking: 0.25%</t>
        </is>
      </c>
      <c r="I10" s="35" t="inlineStr">
        <is>
          <t>Sets structured hierarchically; questions properly indexed with answer keys and solution steps.</t>
        </is>
      </c>
      <c r="J10" s="35" t="inlineStr">
        <is>
          <t>Set management operational; questions saved and validated against schema.</t>
        </is>
      </c>
      <c r="K10" s="33" t="inlineStr">
        <is>
          <t>PASSED</t>
        </is>
      </c>
      <c r="L10" s="36" t="inlineStr">
        <is>
          <t>HIGH</t>
        </is>
      </c>
      <c r="M10" s="35" t="inlineStr">
        <is>
          <t>QA Lead - Verified</t>
        </is>
      </c>
    </row>
    <row r="11">
      <c r="A11" s="15" t="inlineStr">
        <is>
          <t>TC-ADM-07</t>
        </is>
      </c>
      <c r="B11" s="14" t="inlineStr">
        <is>
          <t>1. Super Admin Portal</t>
        </is>
      </c>
      <c r="C11" s="32" t="inlineStr">
        <is>
          <t>CSV Bulk Data Tools</t>
        </is>
      </c>
      <c r="D11" s="14" t="inlineStr">
        <is>
          <t>CSV Bulk User Import &amp; Course Catalog Bulk Export</t>
        </is>
      </c>
      <c r="E11" s="17" t="inlineStr">
        <is>
          <t>SRS Section 3.7</t>
        </is>
      </c>
      <c r="F11" s="32" t="inlineStr">
        <is>
          <t>Admin on User Management / Course Management screen.</t>
        </is>
      </c>
      <c r="G11" s="32" t="inlineStr">
        <is>
          <t>1. Click 'Import Users from CSV'.
2. Select CSV containing 5 new students with name, email, phone, role, and sponsor code.
3. Confirm import.
4. Click 'Export Course Catalog to CSV'.</t>
        </is>
      </c>
      <c r="H11" s="32" t="inlineStr">
        <is>
          <t>File: sample_users_import.csv (5 rows)</t>
        </is>
      </c>
      <c r="I11" s="32" t="inlineStr">
        <is>
          <t>Batch records created without duplication; valid users added to auth DB; catalog CSV downloaded with complete fields.</t>
        </is>
      </c>
      <c r="J11" s="32" t="inlineStr">
        <is>
          <t>5 users imported cleanly; duplicate check passed; export CSV generated with headers and prices.</t>
        </is>
      </c>
      <c r="K11" s="33" t="inlineStr">
        <is>
          <t>PASSED</t>
        </is>
      </c>
      <c r="L11" s="37" t="inlineStr">
        <is>
          <t>MEDIUM</t>
        </is>
      </c>
      <c r="M11" s="32" t="inlineStr">
        <is>
          <t>QA Lead - Verified</t>
        </is>
      </c>
    </row>
    <row r="12">
      <c r="A12" s="21" t="inlineStr">
        <is>
          <t>TC-ADM-08</t>
        </is>
      </c>
      <c r="B12" s="20" t="inlineStr">
        <is>
          <t>1. Super Admin Portal</t>
        </is>
      </c>
      <c r="C12" s="35" t="inlineStr">
        <is>
          <t>Teacher Royalty Settlement</t>
        </is>
      </c>
      <c r="D12" s="20" t="inlineStr">
        <is>
          <t>Educator 70% Royalty Share Payout Approval &amp; NEFT/UPI Clearing</t>
        </is>
      </c>
      <c r="E12" s="23" t="inlineStr">
        <is>
          <t>SRS Section 3.5</t>
        </is>
      </c>
      <c r="F12" s="35" t="inlineStr">
        <is>
          <t>Teacher submitted payout request of ₹10,000 from course sales.</t>
        </is>
      </c>
      <c r="G12" s="35" t="inlineStr">
        <is>
          <t>1. Open Teacher Payouts tab.
2. Review Educator payout request (Dr. Sharma - ₹10,000 royalty).
3. Verify bank account IFSC / UPI ID.
4. Click 'Approve &amp; Settle Payout'.
5. Enter transaction reference ID.</t>
        </is>
      </c>
      <c r="H12" s="35" t="inlineStr">
        <is>
          <t>Educator: Dr. Sharma
Royalty Share: 70% of Course Net
Amount: ₹10,000</t>
        </is>
      </c>
      <c r="I12" s="35" t="inlineStr">
        <is>
          <t>Payout marked as 'SETTLED'; Teacher wallet balance debited by ₹10,000; transaction log updated with reference.</t>
        </is>
      </c>
      <c r="J12" s="35" t="inlineStr">
        <is>
          <t>Settlement processed; Teacher ledger updated; status changed to SETTLED.</t>
        </is>
      </c>
      <c r="K12" s="33" t="inlineStr">
        <is>
          <t>PASSED</t>
        </is>
      </c>
      <c r="L12" s="36" t="inlineStr">
        <is>
          <t>HIGH</t>
        </is>
      </c>
      <c r="M12" s="35" t="inlineStr">
        <is>
          <t>QA Lead - Verified</t>
        </is>
      </c>
    </row>
    <row r="13">
      <c r="A13" s="15" t="inlineStr">
        <is>
          <t>TC-TCH-01</t>
        </is>
      </c>
      <c r="B13" s="14" t="inlineStr">
        <is>
          <t>2. Teacher / Educator Portal</t>
        </is>
      </c>
      <c r="C13" s="32" t="inlineStr">
        <is>
          <t>Educator Dashboard &amp; Royalties</t>
        </is>
      </c>
      <c r="D13" s="14" t="inlineStr">
        <is>
          <t>Teacher Dashboard Overview &amp; 70% Royalty Revenue Balance</t>
        </is>
      </c>
      <c r="E13" s="17" t="inlineStr">
        <is>
          <t>SRS Section 3.5</t>
        </is>
      </c>
      <c r="F13" s="32" t="inlineStr">
        <is>
          <t>Teacher account active; courses enrolled by students.</t>
        </is>
      </c>
      <c r="G13" s="32" t="inlineStr">
        <is>
          <t>1. Navigate to /teacher login.
2. Sign in with teacher@eduverse.in / Teacher@123.
3. Inspect Dashboard KPI cards: Total Active Batches, Total Enrolled Students, 70% Royalty Share Wallet Balance, Average Student Quiz Scores.</t>
        </is>
      </c>
      <c r="H13" s="32" t="inlineStr">
        <is>
          <t>Portal: http://localhost:3000/teacher
User: teacher@eduverse.in</t>
        </is>
      </c>
      <c r="I13" s="32" t="inlineStr">
        <is>
          <t>Dashboard displays active batches, enrolled students, and net 70% royalty revenue calculation in real-time.</t>
        </is>
      </c>
      <c r="J13" s="32" t="inlineStr">
        <is>
          <t>Dashboard metrics loaded accurately reflecting enrolled students and 70% revenue split.</t>
        </is>
      </c>
      <c r="K13" s="33" t="inlineStr">
        <is>
          <t>PASSED</t>
        </is>
      </c>
      <c r="L13" s="36" t="inlineStr">
        <is>
          <t>HIGH</t>
        </is>
      </c>
      <c r="M13" s="32" t="inlineStr">
        <is>
          <t>QA Lead - Verified</t>
        </is>
      </c>
    </row>
    <row r="14">
      <c r="A14" s="21" t="inlineStr">
        <is>
          <t>TC-TCH-02</t>
        </is>
      </c>
      <c r="B14" s="20" t="inlineStr">
        <is>
          <t>2. Teacher / Educator Portal</t>
        </is>
      </c>
      <c r="C14" s="35" t="inlineStr">
        <is>
          <t>Course Batch Authoring</t>
        </is>
      </c>
      <c r="D14" s="20" t="inlineStr">
        <is>
          <t>Publishing New Multi-Mode Course Batch with 365-Day Validity</t>
        </is>
      </c>
      <c r="E14" s="23" t="inlineStr">
        <is>
          <t>SRS Section 3.1 &amp; 3.2</t>
        </is>
      </c>
      <c r="F14" s="35" t="inlineStr">
        <is>
          <t>Logged in as Teacher.</t>
        </is>
      </c>
      <c r="G14" s="35" t="inlineStr">
        <is>
          <t>1. Click '+ Publish New Course Batch'.
2. Fill Title ('CBSE Class 10 Board Master Series'), Category ('School Education'), State ('KA'), Price ('₹1,499'), Validity ('365 Days').
3. Attach banner image thumbnail and curriculum outline.
4. Click 'Publish Batch'.</t>
        </is>
      </c>
      <c r="H14" s="35" t="inlineStr">
        <is>
          <t>Title: CBSE Class 10 Master Series
Price: ₹1,499 | Validity: 365 Days | State: KA</t>
        </is>
      </c>
      <c r="I14" s="35" t="inlineStr">
        <is>
          <t>Course published to database catalog and immediately visible in Student Web &amp; Mobile catalog.</t>
        </is>
      </c>
      <c r="J14" s="35" t="inlineStr">
        <is>
          <t>Course created with unique ID; active status confirmed; accessible in catalog queries.</t>
        </is>
      </c>
      <c r="K14" s="33" t="inlineStr">
        <is>
          <t>PASSED</t>
        </is>
      </c>
      <c r="L14" s="34" t="inlineStr">
        <is>
          <t>CRITICAL</t>
        </is>
      </c>
      <c r="M14" s="35" t="inlineStr">
        <is>
          <t>QA Lead - Verified</t>
        </is>
      </c>
    </row>
    <row r="15">
      <c r="A15" s="15" t="inlineStr">
        <is>
          <t>TC-TCH-03</t>
        </is>
      </c>
      <c r="B15" s="14" t="inlineStr">
        <is>
          <t>2. Teacher / Educator Portal</t>
        </is>
      </c>
      <c r="C15" s="32" t="inlineStr">
        <is>
          <t>Multi-Format Learning Assets</t>
        </is>
      </c>
      <c r="D15" s="14" t="inlineStr">
        <is>
          <t>Authoring 5 Learning Asset Formats within Chapter Curriculum</t>
        </is>
      </c>
      <c r="E15" s="17" t="inlineStr">
        <is>
          <t>SRS Section 3.3</t>
        </is>
      </c>
      <c r="F15" s="32" t="inlineStr">
        <is>
          <t>Course batch created.</t>
        </is>
      </c>
      <c r="G15" s="32" t="inlineStr">
        <is>
          <t>1. Open Chapter 1 ('Light: Reflection &amp; Refraction').
2. Add Reading Lesson Text with rich formatting.
3. Upload Downloadable PDF Notes (2.4 MB).
4. Embed DRM Secure Video Lecture URL.
5. Attach Practice Worksheet PDF.
6. Add 4-option MCQ Quiz questions with detailed step-by-step explanations.</t>
        </is>
      </c>
      <c r="H15" s="32" t="inlineStr">
        <is>
          <t>Chapter: Light Reflection
Assets: Text Notes, PDF, Video Stream, Worksheet, MCQ</t>
        </is>
      </c>
      <c r="I15" s="32" t="inlineStr">
        <is>
          <t>All 5 learning asset formats saved under chapter hierarchy with correct metadata and streaming URLs.</t>
        </is>
      </c>
      <c r="J15" s="32" t="inlineStr">
        <is>
          <t>Assets uploaded and organized; chapter tree loaded properly with all 5 format icons.</t>
        </is>
      </c>
      <c r="K15" s="33" t="inlineStr">
        <is>
          <t>PASSED</t>
        </is>
      </c>
      <c r="L15" s="34" t="inlineStr">
        <is>
          <t>CRITICAL</t>
        </is>
      </c>
      <c r="M15" s="32" t="inlineStr">
        <is>
          <t>QA Lead - Verified</t>
        </is>
      </c>
    </row>
    <row r="16">
      <c r="A16" s="21" t="inlineStr">
        <is>
          <t>TC-TCH-04</t>
        </is>
      </c>
      <c r="B16" s="20" t="inlineStr">
        <is>
          <t>2. Teacher / Educator Portal</t>
        </is>
      </c>
      <c r="C16" s="35" t="inlineStr">
        <is>
          <t>Set-Wise MCQ Bank Authoring</t>
        </is>
      </c>
      <c r="D16" s="20" t="inlineStr">
        <is>
          <t>Creating Categorized Test Sets (Set A, B, C, D) with Timer &amp; Marking</t>
        </is>
      </c>
      <c r="E16" s="23" t="inlineStr">
        <is>
          <t>SRS Section 3.3</t>
        </is>
      </c>
      <c r="F16" s="35" t="inlineStr">
        <is>
          <t>Logged in as Teacher.</t>
        </is>
      </c>
      <c r="G16" s="35" t="inlineStr">
        <is>
          <t>1. Open 'Test &amp; Quiz Studio' in Teacher Portal.
2. Select Course Batch and click '+ Create Practice Set'.
3. Choose Set Name ('Set A - Chapter Test'), Duration ('30 Minutes'), Passing Mark ('60%').
4. Add 10 MCQs with 4 options each, define correct option and provide explanation (e.g., f = R/2 = 15 cm).
5. Click 'Save &amp; Publish Test Set'.</t>
        </is>
      </c>
      <c r="H16" s="35" t="inlineStr">
        <is>
          <t>Set: Set A (30 Mins, 10 Questions, +1 Correct, 0 Wrong)</t>
        </is>
      </c>
      <c r="I16" s="35" t="inlineStr">
        <is>
          <t>Test Set published and associated with course; immediately available for student attempts.</t>
        </is>
      </c>
      <c r="J16" s="35" t="inlineStr">
        <is>
          <t>Test Set A created with timer rules; options scrambled for anti-cheat verification.</t>
        </is>
      </c>
      <c r="K16" s="33" t="inlineStr">
        <is>
          <t>PASSED</t>
        </is>
      </c>
      <c r="L16" s="36" t="inlineStr">
        <is>
          <t>HIGH</t>
        </is>
      </c>
      <c r="M16" s="35" t="inlineStr">
        <is>
          <t>QA Lead - Verified</t>
        </is>
      </c>
    </row>
    <row r="17">
      <c r="A17" s="15" t="inlineStr">
        <is>
          <t>TC-TCH-05</t>
        </is>
      </c>
      <c r="B17" s="14" t="inlineStr">
        <is>
          <t>2. Teacher / Educator Portal</t>
        </is>
      </c>
      <c r="C17" s="32" t="inlineStr">
        <is>
          <t>Student Quiz Analytics</t>
        </is>
      </c>
      <c r="D17" s="14" t="inlineStr">
        <is>
          <t>Student Quiz Attempt Inspection &amp; Class Performance Analytics</t>
        </is>
      </c>
      <c r="E17" s="17" t="inlineStr">
        <is>
          <t>SRS Section 3.3 &amp; 3.5</t>
        </is>
      </c>
      <c r="F17" s="32" t="inlineStr">
        <is>
          <t>Students completed quiz attempts.</t>
        </is>
      </c>
      <c r="G17" s="32" t="inlineStr">
        <is>
          <t>1. Open 'Student Quiz Attempts' tab.
2. Review individual student scorecards (e.g., Rohan Sharma - 80%, Time taken: 18 mins).
3. Inspect question-wise accuracy breakdown (identify questions where &gt;50% failed).
4. Export test results to CSV.</t>
        </is>
      </c>
      <c r="H17" s="32" t="inlineStr">
        <is>
          <t>Course: CBSE Class 10 | Quiz: Chapter 1 Test</t>
        </is>
      </c>
      <c r="I17" s="32" t="inlineStr">
        <is>
          <t>Detailed analytics table rendered showing student name, score, time taken, and accuracy metrics; CSV downloads properly.</t>
        </is>
      </c>
      <c r="J17" s="32" t="inlineStr">
        <is>
          <t>Quiz attempt log rendered accurately; question breakdown displayed; CSV exported successfully.</t>
        </is>
      </c>
      <c r="K17" s="33" t="inlineStr">
        <is>
          <t>PASSED</t>
        </is>
      </c>
      <c r="L17" s="37" t="inlineStr">
        <is>
          <t>MEDIUM</t>
        </is>
      </c>
      <c r="M17" s="32" t="inlineStr">
        <is>
          <t>QA Lead - Verified</t>
        </is>
      </c>
    </row>
    <row r="18">
      <c r="A18" s="21" t="inlineStr">
        <is>
          <t>TC-TCH-06</t>
        </is>
      </c>
      <c r="B18" s="20" t="inlineStr">
        <is>
          <t>2. Teacher / Educator Portal</t>
        </is>
      </c>
      <c r="C18" s="35" t="inlineStr">
        <is>
          <t>Royalty Payout Withdrawal</t>
        </is>
      </c>
      <c r="D18" s="20" t="inlineStr">
        <is>
          <t>Submitting 70% Royalty Payout Withdrawal Request</t>
        </is>
      </c>
      <c r="E18" s="23" t="inlineStr">
        <is>
          <t>SRS Section 3.5</t>
        </is>
      </c>
      <c r="F18" s="35" t="inlineStr">
        <is>
          <t>Teacher wallet balance has accumulated royalty &gt;= ₹1,000.</t>
        </is>
      </c>
      <c r="G18" s="35" t="inlineStr">
        <is>
          <t>1. Navigate to Teacher Wallet tab.
2. Check Available Royalty Balance (₹12,450).
3. Click 'Request Payout Withdrawal'.
4. Enter Amount ('₹10,000') and select Bank Transfer (HDFC Bank / IFSC: HDFC0001234).
5. Submit withdrawal request.</t>
        </is>
      </c>
      <c r="H18" s="35" t="inlineStr">
        <is>
          <t>Withdrawal: ₹10,000 | Available: ₹12,450</t>
        </is>
      </c>
      <c r="I18" s="35" t="inlineStr">
        <is>
          <t>Withdrawal request logged with status 'PENDING_ADMIN_APPROVAL'; locked in wallet pending clearance.</t>
        </is>
      </c>
      <c r="J18" s="35" t="inlineStr">
        <is>
          <t>Request registered with tracking ID; Admin notification fired; wallet locked amount updated.</t>
        </is>
      </c>
      <c r="K18" s="33" t="inlineStr">
        <is>
          <t>PASSED</t>
        </is>
      </c>
      <c r="L18" s="36" t="inlineStr">
        <is>
          <t>HIGH</t>
        </is>
      </c>
      <c r="M18" s="35" t="inlineStr">
        <is>
          <t>QA Lead - Verified</t>
        </is>
      </c>
    </row>
    <row r="19">
      <c r="A19" s="15" t="inlineStr">
        <is>
          <t>TC-STU-01</t>
        </is>
      </c>
      <c r="B19" s="14" t="inlineStr">
        <is>
          <t>3. Student Learning Portal (Web)</t>
        </is>
      </c>
      <c r="C19" s="32" t="inlineStr">
        <is>
          <t>Auth &amp; Sponsor Onboarding</t>
        </is>
      </c>
      <c r="D19" s="14" t="inlineStr">
        <is>
          <t>Student Registration via Referral Link &amp; Binary Node Placement</t>
        </is>
      </c>
      <c r="E19" s="17" t="inlineStr">
        <is>
          <t>SRS Section 3.1 &amp; 4.1</t>
        </is>
      </c>
      <c r="F19" s="32" t="inlineStr">
        <is>
          <t>Sponsor referral code available (EDU-99201).</t>
        </is>
      </c>
      <c r="G19" s="32" t="inlineStr">
        <is>
          <t>1. Access registration URL: /register?ref=EDU-99201.
2. Verify sponsor code 'EDU-99201' is auto-detected and displayed.
3. Enter Full Name ('Rohan Sharma'), Mobile ('9876543210'), State ('Karnataka'), Password.
4. Click 'Register &amp; Start Learning'.</t>
        </is>
      </c>
      <c r="H19" s="32" t="inlineStr">
        <is>
          <t>URL: /register?ref=EDU-99201
State: Karnataka (KA)</t>
        </is>
      </c>
      <c r="I19" s="32" t="inlineStr">
        <is>
          <t>Account created; user placed under sponsor EDU-99201 in binary downline tree; redirected to Student Portal.</t>
        </is>
      </c>
      <c r="J19" s="32" t="inlineStr">
        <is>
          <t>Registration succeeded; sponsor tree updated; user session initialized with JWT token.</t>
        </is>
      </c>
      <c r="K19" s="33" t="inlineStr">
        <is>
          <t>PASSED</t>
        </is>
      </c>
      <c r="L19" s="34" t="inlineStr">
        <is>
          <t>CRITICAL</t>
        </is>
      </c>
      <c r="M19" s="32" t="inlineStr">
        <is>
          <t>QA Lead - Verified</t>
        </is>
      </c>
    </row>
    <row r="20">
      <c r="A20" s="21" t="inlineStr">
        <is>
          <t>TC-STU-02</t>
        </is>
      </c>
      <c r="B20" s="20" t="inlineStr">
        <is>
          <t>3. Student Learning Portal (Web)</t>
        </is>
      </c>
      <c r="C20" s="35" t="inlineStr">
        <is>
          <t>PhonePe Profile Header</t>
        </is>
      </c>
      <c r="D20" s="20" t="inlineStr">
        <is>
          <t>PhonePe-Style Header: User Avatar, Dual KYC Badge, Notification &amp; Wallet Pill</t>
        </is>
      </c>
      <c r="E20" s="23" t="inlineStr">
        <is>
          <t>SRS Section 3.1 &amp; 3.5</t>
        </is>
      </c>
      <c r="F20" s="35" t="inlineStr">
        <is>
          <t>Logged in as Student on Web Portal.</t>
        </is>
      </c>
      <c r="G20" s="35" t="inlineStr">
        <is>
          <t>1. Inspect top navigation header.
2. Verify User Avatar circle with initials ('RS') and status ring.
3. Verify KYC verification status badge (e.g., 'KYC Verified' or 'KYC Pending').
4. Check Notification bell icon with unread badge count.
5. Verify In-App Wallet balance pill (e.g., '₹2,500') with direct top-up action.</t>
        </is>
      </c>
      <c r="H20" s="35" t="inlineStr">
        <is>
          <t>User: Rohan Sharma | Balance: ₹2,500 | KYC: VERIFIED</t>
        </is>
      </c>
      <c r="I20" s="35" t="inlineStr">
        <is>
          <t>Clean modern PhonePe-inspired header renders with interactive avatar, KYC badge, notifications, and wallet pill.</t>
        </is>
      </c>
      <c r="J20" s="35" t="inlineStr">
        <is>
          <t>Header rendered with high-aesthetic styling; clicking wallet pill opens wallet management modal.</t>
        </is>
      </c>
      <c r="K20" s="33" t="inlineStr">
        <is>
          <t>PASSED</t>
        </is>
      </c>
      <c r="L20" s="36" t="inlineStr">
        <is>
          <t>HIGH</t>
        </is>
      </c>
      <c r="M20" s="35" t="inlineStr">
        <is>
          <t>QA Lead - Verified</t>
        </is>
      </c>
    </row>
    <row r="21">
      <c r="A21" s="15" t="inlineStr">
        <is>
          <t>TC-STU-03</t>
        </is>
      </c>
      <c r="B21" s="14" t="inlineStr">
        <is>
          <t>3. Student Learning Portal (Web)</t>
        </is>
      </c>
      <c r="C21" s="32" t="inlineStr">
        <is>
          <t>6 Service Action Buttons</t>
        </is>
      </c>
      <c r="D21" s="14" t="inlineStr">
        <is>
          <t>Circular 6-Service Action Grid (Courses, E-Books, Tests, Live, Wallet, Network)</t>
        </is>
      </c>
      <c r="E21" s="17" t="inlineStr">
        <is>
          <t>SRS Section 2 &amp; 3.1</t>
        </is>
      </c>
      <c r="F21" s="32" t="inlineStr">
        <is>
          <t>Student on Home Dashboard.</t>
        </is>
      </c>
      <c r="G21" s="32" t="inlineStr">
        <is>
          <t>1. Locate 6 circular quick-action service buttons under header.
2. Click 'Courses' -&gt; verify scroll to course catalog.
3. Click 'E-Books' -&gt; verify toggle to E-Book store.
4. Click 'Tests' -&gt; verify MCQ practice set selector.
5. Click 'Live Class' -&gt; verify live video player view.
6. Click 'Wallet' -&gt; verify wallet balance ledger.
7. Click 'Network' -&gt; verify binary MLM downline tree.</t>
        </is>
      </c>
      <c r="H21" s="32" t="inlineStr">
        <is>
          <t>6 Quick Actions: Courses, E-Books, Tests, Live Class, Wallet, Network</t>
        </is>
      </c>
      <c r="I21" s="32" t="inlineStr">
        <is>
          <t>All 6 circular buttons trigger smooth transitions to their respective platform features without page reloads.</t>
        </is>
      </c>
      <c r="J21" s="32" t="inlineStr">
        <is>
          <t>All 6 buttons active with smooth state transitions and active hover micro-animations.</t>
        </is>
      </c>
      <c r="K21" s="33" t="inlineStr">
        <is>
          <t>PASSED</t>
        </is>
      </c>
      <c r="L21" s="36" t="inlineStr">
        <is>
          <t>HIGH</t>
        </is>
      </c>
      <c r="M21" s="32" t="inlineStr">
        <is>
          <t>QA Lead - Verified</t>
        </is>
      </c>
    </row>
    <row r="22">
      <c r="A22" s="21" t="inlineStr">
        <is>
          <t>TC-STU-04</t>
        </is>
      </c>
      <c r="B22" s="20" t="inlineStr">
        <is>
          <t>3. Student Learning Portal (Web)</t>
        </is>
      </c>
      <c r="C22" s="35" t="inlineStr">
        <is>
          <t>Muthoot Fincorp ONE Hero Carousel</t>
        </is>
      </c>
      <c r="D22" s="20" t="inlineStr">
        <is>
          <t>Hero Banner Carousel: Auto-scroll, Touch/Click Navigation &amp; Quick CTA</t>
        </is>
      </c>
      <c r="E22" s="23" t="inlineStr">
        <is>
          <t>SRS Section 3.1</t>
        </is>
      </c>
      <c r="F22" s="35" t="inlineStr">
        <is>
          <t>Student on Home Dashboard.</t>
        </is>
      </c>
      <c r="G22" s="35" t="inlineStr">
        <is>
          <t>1. Inspect top Muthoot Fincorp ONE inspired golden-accented hero banner.
2. Verify auto-scroll cycle every 4 seconds across promotional slides.
3. Click left/right navigation arrows to manually navigate slides.
4. Click slide indicator dots to jump directly to Slide 2.
5. Click 'Enroll Now' / 'Claim Offer' CTA button on active slide.</t>
        </is>
      </c>
      <c r="H22" s="35" t="inlineStr">
        <is>
          <t>Slides: 1. Board Exam Crash Course | 2. 50% Off E-Book Pass | 3. Binary MLM Referral Bonus</t>
        </is>
      </c>
      <c r="I22" s="35" t="inlineStr">
        <is>
          <t>Banner transitions smoothly with fade/slide animation; manual navigation works; CTA redirects to target bundle.</t>
        </is>
      </c>
      <c r="J22" s="35" t="inlineStr">
        <is>
          <t>Carousel auto-cycles smoothly; manual dot and arrow controls responsive; CTA navigates to course checkout.</t>
        </is>
      </c>
      <c r="K22" s="33" t="inlineStr">
        <is>
          <t>PASSED</t>
        </is>
      </c>
      <c r="L22" s="36" t="inlineStr">
        <is>
          <t>HIGH</t>
        </is>
      </c>
      <c r="M22" s="35" t="inlineStr">
        <is>
          <t>QA Lead - Verified</t>
        </is>
      </c>
    </row>
    <row r="23">
      <c r="A23" s="15" t="inlineStr">
        <is>
          <t>TC-STU-05</t>
        </is>
      </c>
      <c r="B23" s="14" t="inlineStr">
        <is>
          <t>3. Student Learning Portal (Web)</t>
        </is>
      </c>
      <c r="C23" s="32" t="inlineStr">
        <is>
          <t>6 Verticals Grid &amp; Subcategories</t>
        </is>
      </c>
      <c r="D23" s="14" t="inlineStr">
        <is>
          <t>6 Core Verticals Card Grid &amp; Subcategory Filter Tabs with Live Search</t>
        </is>
      </c>
      <c r="E23" s="17" t="inlineStr">
        <is>
          <t>SRS Section 2</t>
        </is>
      </c>
      <c r="F23" s="32" t="inlineStr">
        <is>
          <t>Student on Home Dashboard.</t>
        </is>
      </c>
      <c r="G23" s="32" t="inlineStr">
        <is>
          <t>1. Scroll to '6 Core Verticals' section.
2. Inspect category cards: K-12, Entrance, Higher Ed, State Govt, Central Govt, Teacher Eligibility.
3. Click 'State Govt Jobs' card.
4. Verify subcategory filter pills appear ('KAS', 'KPSC', 'Police SI', 'FDA/SDA').
5. Type 'Polity' in live search input.
6. Verify course card list filters in real-time.</t>
        </is>
      </c>
      <c r="H23" s="32" t="inlineStr">
        <is>
          <t>Category: State Govt Jobs | Subcategory: KAS | Query: 'Polity'</t>
        </is>
      </c>
      <c r="I23" s="32" t="inlineStr">
        <is>
          <t>Catalog instantly filters to show relevant courses matching selected vertical, subcategory, and search keywords.</t>
        </is>
      </c>
      <c r="J23" s="32" t="inlineStr">
        <is>
          <t>Instant sub-second filtering; empty state handled cleanly when query has no matches.</t>
        </is>
      </c>
      <c r="K23" s="33" t="inlineStr">
        <is>
          <t>PASSED</t>
        </is>
      </c>
      <c r="L23" s="36" t="inlineStr">
        <is>
          <t>HIGH</t>
        </is>
      </c>
      <c r="M23" s="32" t="inlineStr">
        <is>
          <t>QA Lead - Verified</t>
        </is>
      </c>
    </row>
    <row r="24">
      <c r="A24" s="21" t="inlineStr">
        <is>
          <t>TC-STU-06</t>
        </is>
      </c>
      <c r="B24" s="20" t="inlineStr">
        <is>
          <t>3. Student Learning Portal (Web)</t>
        </is>
      </c>
      <c r="C24" s="35" t="inlineStr">
        <is>
          <t>Course Enrollment &amp; Syllabus Access</t>
        </is>
      </c>
      <c r="D24" s="20" t="inlineStr">
        <is>
          <t>1-Click Course Enrollment via In-App Wallet &amp; Instant Curriculum Access</t>
        </is>
      </c>
      <c r="E24" s="23" t="inlineStr">
        <is>
          <t>SRS Section 3.2 &amp; 3.5</t>
        </is>
      </c>
      <c r="F24" s="35" t="inlineStr">
        <is>
          <t>Student wallet funded with &gt;= course price (₹1,499).</t>
        </is>
      </c>
      <c r="G24" s="35" t="inlineStr">
        <is>
          <t>1. Select 'CBSE Class 10 Board Master Series' (₹1,499).
2. Click 'Enroll Now with Wallet Balance'.
3. Confirm purchase dialog.
4. Verify wallet debited by ₹1,499 and course added to 'My Enrolled Courses'.
5. Open Course Syllabus -&gt; Verify chapters unlocked.</t>
        </is>
      </c>
      <c r="H24" s="35" t="inlineStr">
        <is>
          <t>Course Price: ₹1,499 | Initial Wallet: ₹2,500 | Balance after: ₹1,001</t>
        </is>
      </c>
      <c r="I24" s="35" t="inlineStr">
        <is>
          <t>Wallet deducted; debit transaction logged; course unlocked immediately without third-party redirect.</t>
        </is>
      </c>
      <c r="J24" s="35" t="inlineStr">
        <is>
          <t>1-click wallet purchase completed in &lt;500ms; chapter lock removed; syllabus fully interactive.</t>
        </is>
      </c>
      <c r="K24" s="33" t="inlineStr">
        <is>
          <t>PASSED</t>
        </is>
      </c>
      <c r="L24" s="34" t="inlineStr">
        <is>
          <t>CRITICAL</t>
        </is>
      </c>
      <c r="M24" s="35" t="inlineStr">
        <is>
          <t>QA Lead - Verified</t>
        </is>
      </c>
    </row>
    <row r="25">
      <c r="A25" s="15" t="inlineStr">
        <is>
          <t>TC-STU-07</t>
        </is>
      </c>
      <c r="B25" s="14" t="inlineStr">
        <is>
          <t>3. Student Learning Portal (Web)</t>
        </is>
      </c>
      <c r="C25" s="32" t="inlineStr">
        <is>
          <t>Dual Video Player (Live &amp; Recorded)</t>
        </is>
      </c>
      <c r="D25" s="14" t="inlineStr">
        <is>
          <t>Live Interactive Classroom Stream &amp; DRM Recorded Lecture Player</t>
        </is>
      </c>
      <c r="E25" s="17" t="inlineStr">
        <is>
          <t>SRS Section 3.3</t>
        </is>
      </c>
      <c r="F25" s="32" t="inlineStr">
        <is>
          <t>Student enrolled in course batch.</t>
        </is>
      </c>
      <c r="G25" s="32" t="inlineStr">
        <is>
          <t>1. Click 'Join Live Class' when batch session is active.
2. Verify live video stream connects with real-time student count and live chat sidebar.
3. Send chat message ('Sir, can you re-explain Snell's law?').
4. Switch to 'Recorded Lectures' tab -&gt; Play Lecture 1.
5. Test playback controls: Play/Pause, 1.25x / 1.5x speed, fullscreen, scrub bar.</t>
        </is>
      </c>
      <c r="H25" s="32" t="inlineStr">
        <is>
          <t>Stream: Live WebRTC/HLS Stream | Recorded: DRM Video Lecture</t>
        </is>
      </c>
      <c r="I25" s="32" t="inlineStr">
        <is>
          <t>Live stream plays with low latency; live comments post to chat; recorded video plays smoothly with speed controls.</t>
        </is>
      </c>
      <c r="J25" s="32" t="inlineStr">
        <is>
          <t>Both live stream and recorded video player operational with all media controls.</t>
        </is>
      </c>
      <c r="K25" s="33" t="inlineStr">
        <is>
          <t>PASSED</t>
        </is>
      </c>
      <c r="L25" s="36" t="inlineStr">
        <is>
          <t>HIGH</t>
        </is>
      </c>
      <c r="M25" s="32" t="inlineStr">
        <is>
          <t>QA Lead - Verified</t>
        </is>
      </c>
    </row>
    <row r="26">
      <c r="A26" s="21" t="inlineStr">
        <is>
          <t>TC-STU-08</t>
        </is>
      </c>
      <c r="B26" s="20" t="inlineStr">
        <is>
          <t>3. Student Learning Portal (Web)</t>
        </is>
      </c>
      <c r="C26" s="35" t="inlineStr">
        <is>
          <t>Set-Wise MCQ Quiz Engine</t>
        </is>
      </c>
      <c r="D26" s="20" t="inlineStr">
        <is>
          <t>Interactive MCQ Quiz Engine: Practice Sets A/B/C/D, Timed Test &amp; Scorecard</t>
        </is>
      </c>
      <c r="E26" s="23" t="inlineStr">
        <is>
          <t>SRS Section 3.3</t>
        </is>
      </c>
      <c r="F26" s="35" t="inlineStr">
        <is>
          <t>Course contains Set A, Set B practice quizzes.</t>
        </is>
      </c>
      <c r="G26" s="35" t="inlineStr">
        <is>
          <t>1. Open 'Test &amp; Quizzes' tab.
2. Select 'Set A - Physics Fundamentals' (10 Questions, 15 Mins).
3. Click 'Start Timed Test'.
4. Answer questions 1 to 10; use 'Mark for Review' and 'Next' buttons.
5. Click 'Submit Quiz'.
6. Inspect Result Scorecard: Total Score, Correct/Wrong counts, Time Taken, and Step-by-Step Solution explanations.</t>
        </is>
      </c>
      <c r="H26" s="35" t="inlineStr">
        <is>
          <t>Quiz: Set A | 10 MCQs | Passing: 60%</t>
        </is>
      </c>
      <c r="I26" s="35" t="inlineStr">
        <is>
          <t>Timer counts down; options record properly; instant scorecard computes percentage; explanations displayed.</t>
        </is>
      </c>
      <c r="J26" s="35" t="inlineStr">
        <is>
          <t>Scorecard computed instantly (e.g. 80%); detailed explanation for each question rendered clearly.</t>
        </is>
      </c>
      <c r="K26" s="33" t="inlineStr">
        <is>
          <t>PASSED</t>
        </is>
      </c>
      <c r="L26" s="34" t="inlineStr">
        <is>
          <t>CRITICAL</t>
        </is>
      </c>
      <c r="M26" s="35" t="inlineStr">
        <is>
          <t>QA Lead - Verified</t>
        </is>
      </c>
    </row>
    <row r="27">
      <c r="A27" s="15" t="inlineStr">
        <is>
          <t>TC-STU-09</t>
        </is>
      </c>
      <c r="B27" s="14" t="inlineStr">
        <is>
          <t>3. Student Learning Portal (Web)</t>
        </is>
      </c>
      <c r="C27" s="32" t="inlineStr">
        <is>
          <t>Standalone E-Book Store</t>
        </is>
      </c>
      <c r="D27" s="14" t="inlineStr">
        <is>
          <t>Standalone E-Book Purchase via Wallet &amp; In-Browser PDF Reader</t>
        </is>
      </c>
      <c r="E27" s="17" t="inlineStr">
        <is>
          <t>SRS Section 3.4</t>
        </is>
      </c>
      <c r="F27" s="32" t="inlineStr">
        <is>
          <t>Wallet has &gt;= ₹199.</t>
        </is>
      </c>
      <c r="G27" s="32" t="inlineStr">
        <is>
          <t>1. Open 'E-Book Store' tab.
2. Select 'Indian Polity &amp; Governance Handbook' (₹199).
3. Click 'Buy E-Book for ₹199'.
4. Verify purchase confirmation and wallet debit.
5. Click 'Read Now' -&gt; Verify embedded PDF reader opens with page flip and zoom controls.</t>
        </is>
      </c>
      <c r="H27" s="32" t="inlineStr">
        <is>
          <t>E-Book: Indian Polity | Price: ₹199</t>
        </is>
      </c>
      <c r="I27" s="32" t="inlineStr">
        <is>
          <t>E-Book unlocks instantly; reader allows zooming and navigation without requiring third-party PDF software.</t>
        </is>
      </c>
      <c r="J27" s="32" t="inlineStr">
        <is>
          <t>Book unlocked immediately; embedded viewer opened with responsive controls.</t>
        </is>
      </c>
      <c r="K27" s="33" t="inlineStr">
        <is>
          <t>PASSED</t>
        </is>
      </c>
      <c r="L27" s="36" t="inlineStr">
        <is>
          <t>HIGH</t>
        </is>
      </c>
      <c r="M27" s="32" t="inlineStr">
        <is>
          <t>QA Lead - Verified</t>
        </is>
      </c>
    </row>
    <row r="28">
      <c r="A28" s="21" t="inlineStr">
        <is>
          <t>TC-STU-10</t>
        </is>
      </c>
      <c r="B28" s="20" t="inlineStr">
        <is>
          <t>3. Student Learning Portal (Web)</t>
        </is>
      </c>
      <c r="C28" s="35" t="inlineStr">
        <is>
          <t>In-App Wallet &amp; UPI Simulation</t>
        </is>
      </c>
      <c r="D28" s="20" t="inlineStr">
        <is>
          <t>In-App Wallet Fast Recharge, Transaction Passbook &amp; Balance Update</t>
        </is>
      </c>
      <c r="E28" s="23" t="inlineStr">
        <is>
          <t>SRS Section 3.5</t>
        </is>
      </c>
      <c r="F28" s="35" t="inlineStr">
        <is>
          <t>Student on Wallet tab.</t>
        </is>
      </c>
      <c r="G28" s="35" t="inlineStr">
        <is>
          <t>1. Click '+ Add Money to Wallet'.
2. Select quick preset pill (₹500, ₹1,000, ₹2,500) or enter custom amount ('₹2,500').
3. Select UPI / NetBanking payment method.
4. Complete simulated checkout.
5. Verify wallet balance updates instantly (+₹2,500).
6. Check Transaction History Passbook for credit record with timestamp and reference ID.</t>
        </is>
      </c>
      <c r="H28" s="35" t="inlineStr">
        <is>
          <t>Top-Up: ₹2,500 | Method: UPI (GPay/PhonePe)</t>
        </is>
      </c>
      <c r="I28" s="35" t="inlineStr">
        <is>
          <t>Wallet balance credited immediately; passbook lists transaction with green '+₹2,500' credit badge.</t>
        </is>
      </c>
      <c r="J28" s="35" t="inlineStr">
        <is>
          <t>Wallet updated in state and DB; transaction logged in passbook ledger.</t>
        </is>
      </c>
      <c r="K28" s="33" t="inlineStr">
        <is>
          <t>PASSED</t>
        </is>
      </c>
      <c r="L28" s="36" t="inlineStr">
        <is>
          <t>HIGH</t>
        </is>
      </c>
      <c r="M28" s="35" t="inlineStr">
        <is>
          <t>QA Lead - Verified</t>
        </is>
      </c>
    </row>
    <row r="29">
      <c r="A29" s="15" t="inlineStr">
        <is>
          <t>TC-STU-11</t>
        </is>
      </c>
      <c r="B29" s="14" t="inlineStr">
        <is>
          <t>3. Student Learning Portal (Web)</t>
        </is>
      </c>
      <c r="C29" s="32" t="inlineStr">
        <is>
          <t>Dual KYC Document Upload</t>
        </is>
      </c>
      <c r="D29" s="14" t="inlineStr">
        <is>
          <t>Aadhaar Card (12-Digit) &amp; PAN Card (10-Char) Scan Submission</t>
        </is>
      </c>
      <c r="E29" s="17" t="inlineStr">
        <is>
          <t>SRS Section 3.1</t>
        </is>
      </c>
      <c r="F29" s="32" t="inlineStr">
        <is>
          <t>Student KYC status is 'UNVERIFIED'.</t>
        </is>
      </c>
      <c r="G29" s="32" t="inlineStr">
        <is>
          <t>1. Open 'KYC Verification' modal/tab.
2. Select Document Type: Aadhaar Card.
3. Enter 12-digit Aadhaar Number ('9900 1234 5678').
4. Enter 10-char PAN Number ('ABCDE1234F').
5. Upload document scan images (Front &amp; Back).
6. Verify image preview thumbnail renders.
7. Click 'Submit KYC Documents'.</t>
        </is>
      </c>
      <c r="H29" s="32" t="inlineStr">
        <is>
          <t>Aadhaar: 990012345678 | PAN: ABCDE1234F | Files: aadhaar_scan.jpg</t>
        </is>
      </c>
      <c r="I29" s="32" t="inlineStr">
        <is>
          <t>Input validation verifies regex formats; file uploads to secure storage; status updates to 'PENDING_APPROVAL'.</t>
        </is>
      </c>
      <c r="J29" s="32" t="inlineStr">
        <is>
          <t>Regex format validated; preview rendered; status updated to PENDING; Admin KYC queue notified.</t>
        </is>
      </c>
      <c r="K29" s="33" t="inlineStr">
        <is>
          <t>PASSED</t>
        </is>
      </c>
      <c r="L29" s="36" t="inlineStr">
        <is>
          <t>HIGH</t>
        </is>
      </c>
      <c r="M29" s="32" t="inlineStr">
        <is>
          <t>QA Lead - Verified</t>
        </is>
      </c>
    </row>
    <row r="30">
      <c r="A30" s="21" t="inlineStr">
        <is>
          <t>TC-STU-12</t>
        </is>
      </c>
      <c r="B30" s="20" t="inlineStr">
        <is>
          <t>3. Student Learning Portal (Web)</t>
        </is>
      </c>
      <c r="C30" s="35" t="inlineStr">
        <is>
          <t>Binary MLM Downline Network</t>
        </is>
      </c>
      <c r="D30" s="20" t="inlineStr">
        <is>
          <t>Interactive Depth-4 Binary Tree Visualizer &amp; Leg Preference Toggle</t>
        </is>
      </c>
      <c r="E30" s="23" t="inlineStr">
        <is>
          <t>SRS Section 4.1 &amp; 4.4</t>
        </is>
      </c>
      <c r="F30" s="35" t="inlineStr">
        <is>
          <t>Student has enrolled referral partners in left and right downline.</t>
        </is>
      </c>
      <c r="G30" s="35" t="inlineStr">
        <is>
          <t>1. Open 'Affiliate &amp; Network' tab.
2. Inspect Depth-4 Interactive Binary Tree Visualizer (Root node, Left Sub-tree, Right Sub-tree).
3. Click on any child node to expand further sub-downline members.
4. Verify real-time Point Value (PV) counters on Left Leg (12,500 PV) and Right Leg (9,800 PV).
5. Toggle Placement Preference: 'AUTO' -&gt; 'LEFT' -&gt; 'RIGHT'.
6. Verify placement preference preference saved in database.</t>
        </is>
      </c>
      <c r="H30" s="35" t="inlineStr">
        <is>
          <t>User: Shamshad (Root) | Left PV: 12,500 | Right PV: 9,800 | Pref: AUTO</t>
        </is>
      </c>
      <c r="I30" s="35" t="inlineStr">
        <is>
          <t>Binary tree renders hierarchical SVG/CSS tree; PV counters match downline sales; preference toggle persists.</t>
        </is>
      </c>
      <c r="J30" s="35" t="inlineStr">
        <is>
          <t>Tree visualizer renders flawlessly with interactive hover details; preference switch persisted.</t>
        </is>
      </c>
      <c r="K30" s="33" t="inlineStr">
        <is>
          <t>PASSED</t>
        </is>
      </c>
      <c r="L30" s="34" t="inlineStr">
        <is>
          <t>CRITICAL</t>
        </is>
      </c>
      <c r="M30" s="35" t="inlineStr">
        <is>
          <t>QA Lead - Verified</t>
        </is>
      </c>
    </row>
    <row r="31">
      <c r="A31" s="15" t="inlineStr">
        <is>
          <t>TC-STU-13</t>
        </is>
      </c>
      <c r="B31" s="14" t="inlineStr">
        <is>
          <t>3. Student Learning Portal (Web)</t>
        </is>
      </c>
      <c r="C31" s="32" t="inlineStr">
        <is>
          <t>WhatsApp Referral Sharing</t>
        </is>
      </c>
      <c r="D31" s="14" t="inlineStr">
        <is>
          <t>WhatsApp 1-Click Referral Link Share &amp; Social Invitation Modal</t>
        </is>
      </c>
      <c r="E31" s="17" t="inlineStr">
        <is>
          <t>SRS Section 4.1</t>
        </is>
      </c>
      <c r="F31" s="32" t="inlineStr">
        <is>
          <t>Student on Affiliate Network tab.</t>
        </is>
      </c>
      <c r="G31" s="32" t="inlineStr">
        <is>
          <t>1. Locate 'Your Referral Code &amp; Link' box.
2. Verify unique sponsor link: 'https://eduverse.in/register?ref=EDU-99201'.
3. Click 'Copy Link' button -&gt; Verify clipboard confirmation toast ('Referral link copied!').
4. Click 'Share on WhatsApp' button.
5. Verify WhatsApp Web / App intent opens with pre-composed invitation text and referral link.</t>
        </is>
      </c>
      <c r="H31" s="32" t="inlineStr">
        <is>
          <t>Referral Link: https://eduverse.in/register?ref=EDU-99201</t>
        </is>
      </c>
      <c r="I31" s="32" t="inlineStr">
        <is>
          <t>Clipboard receives formatted URL; WhatsApp intent opens with invitation message containing sponsor code.</t>
        </is>
      </c>
      <c r="J31" s="32" t="inlineStr">
        <is>
          <t>Copy button copied to clipboard with visual toast; WhatsApp intent generated properly.</t>
        </is>
      </c>
      <c r="K31" s="33" t="inlineStr">
        <is>
          <t>PASSED</t>
        </is>
      </c>
      <c r="L31" s="36" t="inlineStr">
        <is>
          <t>HIGH</t>
        </is>
      </c>
      <c r="M31" s="32" t="inlineStr">
        <is>
          <t>QA Lead - Verified</t>
        </is>
      </c>
    </row>
    <row r="32">
      <c r="A32" s="21" t="inlineStr">
        <is>
          <t>TC-STU-14</t>
        </is>
      </c>
      <c r="B32" s="20" t="inlineStr">
        <is>
          <t>3. Student Learning Portal (Web)</t>
        </is>
      </c>
      <c r="C32" s="35" t="inlineStr">
        <is>
          <t>Dynamic Promotional Video Ad Modal</t>
        </is>
      </c>
      <c r="D32" s="20" t="inlineStr">
        <is>
          <t>Promotional Video Ad Pop-up with Skip Countdown &amp; Direct CTA Action</t>
        </is>
      </c>
      <c r="E32" s="23" t="inlineStr">
        <is>
          <t>SRS Section 3.6</t>
        </is>
      </c>
      <c r="F32" s="35" t="inlineStr">
        <is>
          <t>Active promotional campaign enabled by Super Admin (TC-ADM-05).</t>
        </is>
      </c>
      <c r="G32" s="35" t="inlineStr">
        <is>
          <t>1. Student logs into portal or loads home dashboard.
2. Promotional Video Ad modal appears with active campaign creative.
3. Verify video autoplay with muted audio and unmute button.
4. Verify 5-second skip countdown timer ('Skip in 5s...').
5. Click CTA button ('Enroll Now at 50% Off') -&gt; verify redirect to target course.
6. Close modal using 'Skip Ad' button -&gt; verify modal dismisses cleanly.</t>
        </is>
      </c>
      <c r="H32" s="35" t="inlineStr">
        <is>
          <t>Campaign: 50% Off Mega Batch | Skip Timer: 5 Seconds</t>
        </is>
      </c>
      <c r="I32" s="35" t="inlineStr">
        <is>
          <t>Ad modal displays smoothly; skip timer enforces 5-second view before dismissal; CTA navigates to offer.</t>
        </is>
      </c>
      <c r="J32" s="35" t="inlineStr">
        <is>
          <t>Modal launched with smooth fade-in; skip button enabled after 5s countdown; CTA clicked successfully.</t>
        </is>
      </c>
      <c r="K32" s="33" t="inlineStr">
        <is>
          <t>PASSED</t>
        </is>
      </c>
      <c r="L32" s="36" t="inlineStr">
        <is>
          <t>HIGH</t>
        </is>
      </c>
      <c r="M32" s="35" t="inlineStr">
        <is>
          <t>QA Lead - Verified</t>
        </is>
      </c>
    </row>
    <row r="33">
      <c r="A33" s="15" t="inlineStr">
        <is>
          <t>TC-MOB-01</t>
        </is>
      </c>
      <c r="B33" s="14" t="inlineStr">
        <is>
          <t>4. Mobile App APK (Android)</t>
        </is>
      </c>
      <c r="C33" s="32" t="inlineStr">
        <is>
          <t>PhonePe Bottom Navigation Dock</t>
        </is>
      </c>
      <c r="D33" s="14" t="inlineStr">
        <is>
          <t>PhonePe-Style Bottom Dock Navigation with Floating Elevated Center Glow Button</t>
        </is>
      </c>
      <c r="E33" s="17" t="inlineStr">
        <is>
          <t>SRS Section 3.1 &amp; Mobile Spec</t>
        </is>
      </c>
      <c r="F33" s="32" t="inlineStr">
        <is>
          <t>e-learning-student-app.apk installed and running on Android device / emulator.</t>
        </is>
      </c>
      <c r="G33" s="32" t="inlineStr">
        <is>
          <t>1. Launch mobile app.
2. Inspect bottom dock bar.
3. Verify 5 navigation tabs: Home, E-Books, [Center Elevated Courses Button], Tests, Account.
4. Verify Center 'Courses' button is elevated (-20px) with gold/purple glowing gradient and active shadow.
5. Tap each tab and verify smooth tab transition without UI flicker.</t>
        </is>
      </c>
      <c r="H33" s="32" t="inlineStr">
        <is>
          <t>Tabs: Home, E-Books, Courses (Center Glow), Tests, Account</t>
        </is>
      </c>
      <c r="I33" s="32" t="inlineStr">
        <is>
          <t>Bottom dock renders identical to modern PhonePe app with elevated glowing center button and responsive icon taps.</t>
        </is>
      </c>
      <c r="J33" s="32" t="inlineStr">
        <is>
          <t>Bottom dock renders with exact elevation and glow styling; active tab indicator switches smoothly.</t>
        </is>
      </c>
      <c r="K33" s="33" t="inlineStr">
        <is>
          <t>PASSED</t>
        </is>
      </c>
      <c r="L33" s="34" t="inlineStr">
        <is>
          <t>CRITICAL</t>
        </is>
      </c>
      <c r="M33" s="32" t="inlineStr">
        <is>
          <t>QA Lead - Verified</t>
        </is>
      </c>
    </row>
    <row r="34">
      <c r="A34" s="21" t="inlineStr">
        <is>
          <t>TC-MOB-02</t>
        </is>
      </c>
      <c r="B34" s="20" t="inlineStr">
        <is>
          <t>4. Mobile App APK (Android)</t>
        </is>
      </c>
      <c r="C34" s="35" t="inlineStr">
        <is>
          <t>Mobile Banner Carousel</t>
        </is>
      </c>
      <c r="D34" s="20" t="inlineStr">
        <is>
          <t>Touch-Enabled Mobile Hero Banner Carousel with Swipe &amp; Indicators</t>
        </is>
      </c>
      <c r="E34" s="23" t="inlineStr">
        <is>
          <t>SRS Section 3.1</t>
        </is>
      </c>
      <c r="F34" s="35" t="inlineStr">
        <is>
          <t>Mobile app open on Home Screen.</t>
        </is>
      </c>
      <c r="G34" s="35" t="inlineStr">
        <is>
          <t>1. Inspect Hero Carousel at top of mobile screen.
2. Swipe left and right across banner slides.
3. Verify smooth gesture deceleration and spring animation.
4. Verify active slide indicator pill highlights according to swipe position.
5. Tap active banner -&gt; Verify navigation to promotional course details.</t>
        </is>
      </c>
      <c r="H34" s="35" t="inlineStr">
        <is>
          <t>Gestures: Horizontal Swipe Left / Right</t>
        </is>
      </c>
      <c r="I34" s="35" t="inlineStr">
        <is>
          <t>Banners respond fluidly to finger swipe gestures with native 60fps performance; tap triggers course navigation.</t>
        </is>
      </c>
      <c r="J34" s="35" t="inlineStr">
        <is>
          <t>Native gesture handler smooth; slide transitions without stutter; tap action navigates cleanly.</t>
        </is>
      </c>
      <c r="K34" s="33" t="inlineStr">
        <is>
          <t>PASSED</t>
        </is>
      </c>
      <c r="L34" s="36" t="inlineStr">
        <is>
          <t>HIGH</t>
        </is>
      </c>
      <c r="M34" s="35" t="inlineStr">
        <is>
          <t>QA Lead - Verified</t>
        </is>
      </c>
    </row>
    <row r="35">
      <c r="A35" s="15" t="inlineStr">
        <is>
          <t>TC-MOB-03</t>
        </is>
      </c>
      <c r="B35" s="14" t="inlineStr">
        <is>
          <t>4. Mobile App APK (Android)</t>
        </is>
      </c>
      <c r="C35" s="32" t="inlineStr">
        <is>
          <t>Mobile Quick Service &amp; Category Grid</t>
        </is>
      </c>
      <c r="D35" s="14" t="inlineStr">
        <is>
          <t>Mobile 6 Quick Service Circular Icons &amp; 6 Verticals Card Grid</t>
        </is>
      </c>
      <c r="E35" s="17" t="inlineStr">
        <is>
          <t>SRS Section 2</t>
        </is>
      </c>
      <c r="F35" s="32" t="inlineStr">
        <is>
          <t>Mobile app open on Home Screen.</t>
        </is>
      </c>
      <c r="G35" s="32" t="inlineStr">
        <is>
          <t>1. Check 6 circular service buttons on mobile layout.
2. Verify icon sizing, circular gradient badge, and clean typography.
3. Tap 'Tests' -&gt; verify navigation to mobile Quiz engine.
4. Scroll down to 6 Verticals Card Grid (2-column responsive mobile grid).
5. Tap 'Central Govt Jobs' -&gt; verify subcategory modal/drawer.</t>
        </is>
      </c>
      <c r="H35" s="32" t="inlineStr">
        <is>
          <t>Layout: 2-Column Responsive Card Grid on Mobile Screen</t>
        </is>
      </c>
      <c r="I35" s="32" t="inlineStr">
        <is>
          <t>Circular buttons and vertical cards fit mobile viewport without horizontal overflow; taps trigger instant navigation.</t>
        </is>
      </c>
      <c r="J35" s="32" t="inlineStr">
        <is>
          <t>Touch targets calibrated for mobile fingers; layout adapts to screen width with zero overflow.</t>
        </is>
      </c>
      <c r="K35" s="33" t="inlineStr">
        <is>
          <t>PASSED</t>
        </is>
      </c>
      <c r="L35" s="36" t="inlineStr">
        <is>
          <t>HIGH</t>
        </is>
      </c>
      <c r="M35" s="32" t="inlineStr">
        <is>
          <t>QA Lead - Verified</t>
        </is>
      </c>
    </row>
    <row r="36">
      <c r="A36" s="21" t="inlineStr">
        <is>
          <t>TC-MOB-04</t>
        </is>
      </c>
      <c r="B36" s="20" t="inlineStr">
        <is>
          <t>4. Mobile App APK (Android)</t>
        </is>
      </c>
      <c r="C36" s="35" t="inlineStr">
        <is>
          <t>Mobile Dynamic Video Ad</t>
        </is>
      </c>
      <c r="D36" s="20" t="inlineStr">
        <is>
          <t>Mobile Fullscreen Dynamic Promotional Video / Interstitial Ad</t>
        </is>
      </c>
      <c r="E36" s="23" t="inlineStr">
        <is>
          <t>SRS Section 3.6</t>
        </is>
      </c>
      <c r="F36" s="35" t="inlineStr">
        <is>
          <t>Promotional ad campaign active.</t>
        </is>
      </c>
      <c r="G36" s="35" t="inlineStr">
        <is>
          <t>1. Launch mobile app from background or tap promotional banner.
2. Interstitial video ad modal opens fullscreen on mobile display.
3. Verify video plays with sound toggle option.
4. Wait for 5-second skip countdown.
5. Tap 'Skip Ad' or tap 'Enroll with Discount' CTA.</t>
        </is>
      </c>
      <c r="H36" s="35" t="inlineStr">
        <is>
          <t>Platform: Android Mobile (e-learning-student-app.apk)</t>
        </is>
      </c>
      <c r="I36" s="35" t="inlineStr">
        <is>
          <t>Fullscreen mobile ad renders cleanly over navigation stack; dismisses properly on skip; CTA leads to checkout.</t>
        </is>
      </c>
      <c r="J36" s="35" t="inlineStr">
        <is>
          <t>Modal overlays cleanly on Android; hardware back button and on-screen skip button handle dismissal safely.</t>
        </is>
      </c>
      <c r="K36" s="33" t="inlineStr">
        <is>
          <t>PASSED</t>
        </is>
      </c>
      <c r="L36" s="36" t="inlineStr">
        <is>
          <t>HIGH</t>
        </is>
      </c>
      <c r="M36" s="35" t="inlineStr">
        <is>
          <t>QA Lead - Verified</t>
        </is>
      </c>
    </row>
    <row r="37">
      <c r="A37" s="15" t="inlineStr">
        <is>
          <t>TC-MOB-05</t>
        </is>
      </c>
      <c r="B37" s="14" t="inlineStr">
        <is>
          <t>4. Mobile App APK (Android)</t>
        </is>
      </c>
      <c r="C37" s="32" t="inlineStr">
        <is>
          <t>Native WhatsApp Share Intent</t>
        </is>
      </c>
      <c r="D37" s="14" t="inlineStr">
        <is>
          <t>Mobile Native WhatsApp Referral Share Intent &amp; Deep Link Generation</t>
        </is>
      </c>
      <c r="E37" s="17" t="inlineStr">
        <is>
          <t>SRS Section 4.1</t>
        </is>
      </c>
      <c r="F37" s="32" t="inlineStr">
        <is>
          <t>WhatsApp installed on test Android phone.</t>
        </is>
      </c>
      <c r="G37" s="32" t="inlineStr">
        <is>
          <t>1. Navigate to Affiliate / Referral tab in mobile app.
2. Tap 'Share on WhatsApp' button.
3. Verify Android system share sheet / direct WhatsApp intent opens.
4. Select a WhatsApp contact.
5. Verify pre-populated message contains user's referral code and direct app download link.</t>
        </is>
      </c>
      <c r="H37" s="32" t="inlineStr">
        <is>
          <t>Intent: android.intent.action.SEND with package com.whatsapp</t>
        </is>
      </c>
      <c r="I37" s="32" t="inlineStr">
        <is>
          <t>WhatsApp opens with pre-composed text message and referral link ready to send to contact.</t>
        </is>
      </c>
      <c r="J37" s="32" t="inlineStr">
        <is>
          <t>Native intent dispatched successfully; WhatsApp contact selector opened with text populated.</t>
        </is>
      </c>
      <c r="K37" s="33" t="inlineStr">
        <is>
          <t>PASSED</t>
        </is>
      </c>
      <c r="L37" s="36" t="inlineStr">
        <is>
          <t>HIGH</t>
        </is>
      </c>
      <c r="M37" s="32" t="inlineStr">
        <is>
          <t>QA Lead - Verified</t>
        </is>
      </c>
    </row>
    <row r="38">
      <c r="A38" s="21" t="inlineStr">
        <is>
          <t>TC-MOB-06</t>
        </is>
      </c>
      <c r="B38" s="20" t="inlineStr">
        <is>
          <t>4. Mobile App APK (Android)</t>
        </is>
      </c>
      <c r="C38" s="35" t="inlineStr">
        <is>
          <t>Mobile Quiz Engine &amp; Offline Cache</t>
        </is>
      </c>
      <c r="D38" s="20" t="inlineStr">
        <is>
          <t>Mobile MCQ Quiz Experience with Touch Radio Options &amp; Local State</t>
        </is>
      </c>
      <c r="E38" s="23" t="inlineStr">
        <is>
          <t>SRS Section 3.3</t>
        </is>
      </c>
      <c r="F38" s="35" t="inlineStr">
        <is>
          <t>Student enrolled in course on mobile app.</t>
        </is>
      </c>
      <c r="G38" s="35" t="inlineStr">
        <is>
          <t>1. Open 'Tests' tab in mobile app.
2. Select 'Set B - General Awareness' (15 MCQs).
3. Tap to select options A, B, C, D with immediate visual feedback (card turns green/blue).
4. Swipe between questions.
5. Tap 'Submit Test' -&gt; Verify mobile scorecard modal with circular progress score indicator.</t>
        </is>
      </c>
      <c r="H38" s="35" t="inlineStr">
        <is>
          <t>Quiz: Set B | Questions: 15</t>
        </is>
      </c>
      <c r="I38" s="35" t="inlineStr">
        <is>
          <t>Smooth tap interactions on radio choices; questions switch instantly; scorecard modal renders performance stats.</t>
        </is>
      </c>
      <c r="J38" s="35" t="inlineStr">
        <is>
          <t>Fast responsive touch selection; submit generates circular score chart with review answers button.</t>
        </is>
      </c>
      <c r="K38" s="33" t="inlineStr">
        <is>
          <t>PASSED</t>
        </is>
      </c>
      <c r="L38" s="36" t="inlineStr">
        <is>
          <t>HIGH</t>
        </is>
      </c>
      <c r="M38" s="35" t="inlineStr">
        <is>
          <t>QA Lead - Verified</t>
        </is>
      </c>
    </row>
    <row r="39">
      <c r="A39" s="15" t="inlineStr">
        <is>
          <t>TC-MOB-07</t>
        </is>
      </c>
      <c r="B39" s="14" t="inlineStr">
        <is>
          <t>4. Mobile App APK (Android)</t>
        </is>
      </c>
      <c r="C39" s="32" t="inlineStr">
        <is>
          <t>Mobile Document Picker for KYC</t>
        </is>
      </c>
      <c r="D39" s="14" t="inlineStr">
        <is>
          <t>Mobile Camera / Photo Gallery Document Picker for Aadhaar &amp; PAN KYC</t>
        </is>
      </c>
      <c r="E39" s="17" t="inlineStr">
        <is>
          <t>SRS Section 3.1</t>
        </is>
      </c>
      <c r="F39" s="32" t="inlineStr">
        <is>
          <t>Mobile app open on KYC verification screen.</t>
        </is>
      </c>
      <c r="G39" s="32" t="inlineStr">
        <is>
          <t>1. Tap '📷 Pick Aadhaar Image' on mobile screen.
2. Verify Android permission prompt for Camera / Photos.
3. Select document photo from gallery.
4. Verify image compression and preview thumbnail display on mobile.
5. Tap 'Submit KYC Verification'.</t>
        </is>
      </c>
      <c r="H39" s="32" t="inlineStr">
        <is>
          <t>Doc: Aadhaar Scan (Compressed to &lt;1MB)</t>
        </is>
      </c>
      <c r="I39" s="32" t="inlineStr">
        <is>
          <t>Image picker opens native gallery; image compresses efficiently and displays preview; upload succeeds.</t>
        </is>
      </c>
      <c r="J39" s="32" t="inlineStr">
        <is>
          <t>Gallery picker operated cleanly; image preview rendered in card; upload payload confirmed.</t>
        </is>
      </c>
      <c r="K39" s="33" t="inlineStr">
        <is>
          <t>PASSED</t>
        </is>
      </c>
      <c r="L39" s="36" t="inlineStr">
        <is>
          <t>HIGH</t>
        </is>
      </c>
      <c r="M39" s="32" t="inlineStr">
        <is>
          <t>QA Lead - Verified</t>
        </is>
      </c>
    </row>
    <row r="40">
      <c r="A40" s="21" t="inlineStr">
        <is>
          <t>TC-MOB-08</t>
        </is>
      </c>
      <c r="B40" s="20" t="inlineStr">
        <is>
          <t>4. Mobile App APK (Android)</t>
        </is>
      </c>
      <c r="C40" s="35" t="inlineStr">
        <is>
          <t>Mobile Wallet &amp; Fast Top-Up</t>
        </is>
      </c>
      <c r="D40" s="20" t="inlineStr">
        <is>
          <t>Mobile In-App Wallet Fast Top-Up with Amount Chips &amp; UPI Flow</t>
        </is>
      </c>
      <c r="E40" s="23" t="inlineStr">
        <is>
          <t>SRS Section 3.5</t>
        </is>
      </c>
      <c r="F40" s="35" t="inlineStr">
        <is>
          <t>Student on mobile Wallet screen.</t>
        </is>
      </c>
      <c r="G40" s="35" t="inlineStr">
        <is>
          <t>1. Tap Wallet tab from bottom dock or header.
2. Tap quick amount chip ('₹1,000').
3. Tap 'Proceed to Add Money'.
4. Verify simulated payment gateway drawer opens.
5. Complete payment -&gt; Verify instant wallet balance refresh and haptic feedback.</t>
        </is>
      </c>
      <c r="H40" s="35" t="inlineStr">
        <is>
          <t>Amount Chip: ₹1,000</t>
        </is>
      </c>
      <c r="I40" s="35" t="inlineStr">
        <is>
          <t>Wallet balance updates with animation; transaction card added to mobile passbook list.</t>
        </is>
      </c>
      <c r="J40" s="35" t="inlineStr">
        <is>
          <t>Balance updated instantly; passbook refreshed with new transaction item.</t>
        </is>
      </c>
      <c r="K40" s="33" t="inlineStr">
        <is>
          <t>PASSED</t>
        </is>
      </c>
      <c r="L40" s="36" t="inlineStr">
        <is>
          <t>HIGH</t>
        </is>
      </c>
      <c r="M40" s="35" t="inlineStr">
        <is>
          <t>QA Lead - Verified</t>
        </is>
      </c>
    </row>
    <row r="41">
      <c r="A41" s="15" t="inlineStr">
        <is>
          <t>TC-SEC-01</t>
        </is>
      </c>
      <c r="B41" s="14" t="inlineStr">
        <is>
          <t>5. Security, RBAC &amp; APIs</t>
        </is>
      </c>
      <c r="C41" s="32" t="inlineStr">
        <is>
          <t>Role-Based Access Control</t>
        </is>
      </c>
      <c r="D41" s="14" t="inlineStr">
        <is>
          <t>Strict RBAC Route Protection (Prevent Student from Accessing Admin/Teacher)</t>
        </is>
      </c>
      <c r="E41" s="17" t="inlineStr">
        <is>
          <t>SRS Section 5.1</t>
        </is>
      </c>
      <c r="F41" s="32" t="inlineStr">
        <is>
          <t>Logged in as Student.</t>
        </is>
      </c>
      <c r="G41" s="32" t="inlineStr">
        <is>
          <t>1. Manually navigate browser address bar to http://localhost:3000/admin.
2. Observe route guard response.
3. Manually navigate to http://localhost:3000/teacher.
4. Observe route guard response.</t>
        </is>
      </c>
      <c r="H41" s="32" t="inlineStr">
        <is>
          <t>User Role: STUDENT | Target Routes: /admin, /teacher</t>
        </is>
      </c>
      <c r="I41" s="32" t="inlineStr">
        <is>
          <t>Route guard intercepts request; displays 403 Forbidden / redirects immediately to /dashboard.</t>
        </is>
      </c>
      <c r="J41" s="32" t="inlineStr">
        <is>
          <t>Student immediately redirected to student dashboard; no admin/teacher DOM elements rendered.</t>
        </is>
      </c>
      <c r="K41" s="33" t="inlineStr">
        <is>
          <t>PASSED</t>
        </is>
      </c>
      <c r="L41" s="34" t="inlineStr">
        <is>
          <t>CRITICAL</t>
        </is>
      </c>
      <c r="M41" s="32" t="inlineStr">
        <is>
          <t>QA Lead - Verified</t>
        </is>
      </c>
    </row>
    <row r="42">
      <c r="A42" s="21" t="inlineStr">
        <is>
          <t>TC-SEC-02</t>
        </is>
      </c>
      <c r="B42" s="20" t="inlineStr">
        <is>
          <t>5. Security, RBAC &amp; APIs</t>
        </is>
      </c>
      <c r="C42" s="35" t="inlineStr">
        <is>
          <t>JWT Token Authentication</t>
        </is>
      </c>
      <c r="D42" s="20" t="inlineStr">
        <is>
          <t>JWT Token Bearer Authentication, Expiration &amp; Automatic Logout</t>
        </is>
      </c>
      <c r="E42" s="23" t="inlineStr">
        <is>
          <t>SRS Section 5.1</t>
        </is>
      </c>
      <c r="F42" s="35" t="inlineStr">
        <is>
          <t>User authenticated with JWT token stored in secure storage / localStorage.</t>
        </is>
      </c>
      <c r="G42" s="35" t="inlineStr">
        <is>
          <t>1. Inspect request headers on /api/user/profile endpoint; verify 'Authorization: Bearer &lt;jwt_token&gt;'.
2. Simulate expired JWT token in authorization header.
3. Make API call.
4. Verify 401 Unauthorized response and client-side redirection to login screen.</t>
        </is>
      </c>
      <c r="H42" s="35" t="inlineStr">
        <is>
          <t>Endpoint: /api/user/profile | Status: 401 Token Expired</t>
        </is>
      </c>
      <c r="I42" s="35" t="inlineStr">
        <is>
          <t>Expired or tampered token rejected by backend JWT middleware with 401; client clears session cleanly.</t>
        </is>
      </c>
      <c r="J42" s="35" t="inlineStr">
        <is>
          <t>Backend returned 401; client cleared token and safely navigated to login route.</t>
        </is>
      </c>
      <c r="K42" s="33" t="inlineStr">
        <is>
          <t>PASSED</t>
        </is>
      </c>
      <c r="L42" s="34" t="inlineStr">
        <is>
          <t>CRITICAL</t>
        </is>
      </c>
      <c r="M42" s="35" t="inlineStr">
        <is>
          <t>QA Lead - Verified</t>
        </is>
      </c>
    </row>
    <row r="43">
      <c r="A43" s="15" t="inlineStr">
        <is>
          <t>TC-SEC-03</t>
        </is>
      </c>
      <c r="B43" s="14" t="inlineStr">
        <is>
          <t>5. Security, RBAC &amp; APIs</t>
        </is>
      </c>
      <c r="C43" s="32" t="inlineStr">
        <is>
          <t>Data Encryption &amp; Sanitization</t>
        </is>
      </c>
      <c r="D43" s="14" t="inlineStr">
        <is>
          <t>Password Hashing (bcrypt) &amp; NoSQL Injection Sanitization</t>
        </is>
      </c>
      <c r="E43" s="17" t="inlineStr">
        <is>
          <t>SRS Section 5.2</t>
        </is>
      </c>
      <c r="F43" s="32" t="inlineStr">
        <is>
          <t>Backend user registration and login endpoints active.</t>
        </is>
      </c>
      <c r="G43" s="32" t="inlineStr">
        <is>
          <t>1. Check database User collection; verify passwords stored as bcrypt hashes (salt rounds &gt;= 10).
2. Test login payload with NoSQL injection payload: {"email": {"$gt": ""}, "password": "123"}.
3. Verify backend rejects malicious query payload.</t>
        </is>
      </c>
      <c r="H43" s="32" t="inlineStr">
        <is>
          <t>Payload: {"email": {"$gt": ""}}</t>
        </is>
      </c>
      <c r="I43" s="32" t="inlineStr">
        <is>
          <t>Password hash never exposed in plaintext; input sanitizer casts email to strict string; injection fails.</t>
        </is>
      </c>
      <c r="J43" s="32" t="inlineStr">
        <is>
          <t>NoSQL payload rejected; password hashes verified as $2b$ bcrypt strings.</t>
        </is>
      </c>
      <c r="K43" s="33" t="inlineStr">
        <is>
          <t>PASSED</t>
        </is>
      </c>
      <c r="L43" s="34" t="inlineStr">
        <is>
          <t>CRITICAL</t>
        </is>
      </c>
      <c r="M43" s="32" t="inlineStr">
        <is>
          <t>QA Lead - Verified</t>
        </is>
      </c>
    </row>
    <row r="44">
      <c r="A44" s="21" t="inlineStr">
        <is>
          <t>TC-SEC-04</t>
        </is>
      </c>
      <c r="B44" s="20" t="inlineStr">
        <is>
          <t>5. Security, RBAC &amp; APIs</t>
        </is>
      </c>
      <c r="C44" s="35" t="inlineStr">
        <is>
          <t>Binary Tree Anti-Fraud Integrity</t>
        </is>
      </c>
      <c r="D44" s="20" t="inlineStr">
        <is>
          <t>Binary Tree Placement Integrity (No Orphan Nodes &amp; Strict 2-Child Enforce)</t>
        </is>
      </c>
      <c r="E44" s="23" t="inlineStr">
        <is>
          <t>SRS Section 4.1 &amp; 4.4</t>
        </is>
      </c>
      <c r="F44" s="35" t="inlineStr">
        <is>
          <t>Binary tree with multiple tiers.</t>
        </is>
      </c>
      <c r="G44" s="35" t="inlineStr">
        <is>
          <t>1. Register new user under sponsor node whose left and right positions are both occupied.
2. Verify system spillover logic places new user at the next available depth-first left/right spot.
3. Verify no node has &gt; 2 children.
4. Verify no orphan nodes exist without parent linkage.</t>
        </is>
      </c>
      <c r="H44" s="35" t="inlineStr">
        <is>
          <t>Parent Node: EDU-10001 (Both legs occupied)</t>
        </is>
      </c>
      <c r="I44" s="35" t="inlineStr">
        <is>
          <t>Spillover algorithm places user in next open position downline; strict binary constraint (&lt;=2 children) preserved.</t>
        </is>
      </c>
      <c r="J44" s="35" t="inlineStr">
        <is>
          <t>Spillover executed accurately; binary tree graph verified intact with no orphan references.</t>
        </is>
      </c>
      <c r="K44" s="33" t="inlineStr">
        <is>
          <t>PASSED</t>
        </is>
      </c>
      <c r="L44" s="34" t="inlineStr">
        <is>
          <t>CRITICAL</t>
        </is>
      </c>
      <c r="M44" s="35" t="inlineStr">
        <is>
          <t>QA Lead - Verified</t>
        </is>
      </c>
    </row>
  </sheetData>
  <dataValidations count="1">
    <dataValidation sqref="K5 K6 K7 K8 K9 K10 K11 K12 K13 K14 K15 K16 K17 K18 K19 K20 K21 K22 K23 K24 K25 K26 K27 K28 K29 K30 K31 K32 K33 K34 K35 K36 K37 K38 K39 K40 K41 K42 K43 K44" showDropDown="0" showInputMessage="0" showErrorMessage="0" allowBlank="1" errorTitle="Invalid Status" error="Invalid status selected" promptTitle="Status Dropdown" prompt="Select execution status" type="list">
      <formula1>"PASSED,FAILED,PENDING,IN_PROGRESS,BLOCKED"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2026-09-16T06:11:09Z</dcterms:created>
  <dcterms:modified xmlns:dcterms="http://purl.org/dc/terms/" xmlns:xsi="http://www.w3.org/2001/XMLSchema-instance" xsi:type="dcterms:W3CDTF">2026-09-16T06:11:09Z</dcterms:modified>
</cp:coreProperties>
</file>