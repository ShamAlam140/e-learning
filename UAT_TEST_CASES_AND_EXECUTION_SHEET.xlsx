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Metrics" sheetId="1" state="visible" r:id="rId1"/>
    <sheet xmlns:r="http://schemas.openxmlformats.org/officeDocument/2006/relationships" name="Master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3730A3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30A3"/>
      <sz val="11"/>
    </font>
    <font>
      <name val="Calibri"/>
      <b val="1"/>
      <sz val="10"/>
    </font>
    <font>
      <name val="Calibr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3730A3"/>
        <bgColor rgb="003730A3"/>
      </patternFill>
    </fill>
    <fill>
      <patternFill patternType="solid">
        <fgColor rgb="00E0E7FF"/>
        <bgColor rgb="00E0E7FF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1" workbookViewId="0">
      <selection activeCell="A1" sqref="A1"/>
    </sheetView>
  </sheetViews>
  <sheetFormatPr baseColWidth="8" defaultRowHeight="15"/>
  <cols>
    <col width="35" customWidth="1" min="2" max="2"/>
    <col width="20" customWidth="1" min="3" max="3"/>
  </cols>
  <sheetData>
    <row r="2">
      <c r="B2" s="1" t="inlineStr">
        <is>
          <t>E-Learning &amp; Binary MLM Platform — UAT Execution Summary</t>
        </is>
      </c>
    </row>
    <row r="3">
      <c r="B3" s="2" t="inlineStr">
        <is>
          <t>Interactive Test Execution Dashboard (Order: Admin ➔ Teacher ➔ Student)</t>
        </is>
      </c>
    </row>
    <row r="5">
      <c r="B5" s="3" t="inlineStr">
        <is>
          <t>Execution Metric</t>
        </is>
      </c>
      <c r="C5" s="3" t="inlineStr">
        <is>
          <t>Count / Value</t>
        </is>
      </c>
    </row>
    <row r="6">
      <c r="B6" s="4" t="inlineStr">
        <is>
          <t>Total UAT Test Cases</t>
        </is>
      </c>
      <c r="C6" s="5">
        <f>COUNTA('Master Test Cases'!A5:A19)</f>
        <v/>
      </c>
    </row>
    <row r="7">
      <c r="B7" s="4" t="inlineStr">
        <is>
          <t>Passed Test Cases</t>
        </is>
      </c>
      <c r="C7" s="5">
        <f>COUNTIF('Master Test Cases'!K5:K19, "PASSED")</f>
        <v/>
      </c>
    </row>
    <row r="8">
      <c r="B8" s="4" t="inlineStr">
        <is>
          <t>Failed Test Cases</t>
        </is>
      </c>
      <c r="C8" s="5">
        <f>COUNTIF('Master Test Cases'!K5:K19, "FAILED")</f>
        <v/>
      </c>
    </row>
    <row r="9">
      <c r="B9" s="4" t="inlineStr">
        <is>
          <t>Pending / In Progress</t>
        </is>
      </c>
      <c r="C9" s="5">
        <f>COUNTIF('Master Test Cases'!K5:K19, "PENDING") + COUNTIF('Master Test Cases'!K5:K19, "IN_PROGRESS")</f>
        <v/>
      </c>
    </row>
    <row r="10">
      <c r="B10" s="4" t="inlineStr">
        <is>
          <t>UAT Pass Rate %</t>
        </is>
      </c>
      <c r="C10" s="6">
        <f>C7/C6</f>
        <v/>
      </c>
    </row>
    <row r="11">
      <c r="B11" s="4" t="inlineStr">
        <is>
          <t>Phase 1: Super Admin Tests</t>
        </is>
      </c>
      <c r="C11" s="5">
        <f>COUNTIF('Master Test Cases'!B5:B19, "1. Super Admin")</f>
        <v/>
      </c>
    </row>
    <row r="12">
      <c r="B12" s="4" t="inlineStr">
        <is>
          <t>Phase 2: Teacher Tests</t>
        </is>
      </c>
      <c r="C12" s="5">
        <f>COUNTIF('Master Test Cases'!B5:B19, "2. Teacher / Educator")</f>
        <v/>
      </c>
    </row>
    <row r="13">
      <c r="B13" s="4" t="inlineStr">
        <is>
          <t>Phase 3: Student Tests</t>
        </is>
      </c>
      <c r="C13" s="5">
        <f>COUNTIF('Master Test Cases'!B5:B19, "3. Student &amp; Affiliate")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35" customWidth="1" min="4" max="4"/>
    <col width="16" customWidth="1" min="5" max="5"/>
    <col width="28" customWidth="1" min="6" max="6"/>
    <col width="45" customWidth="1" min="7" max="7"/>
    <col width="30" customWidth="1" min="8" max="8"/>
    <col width="45" customWidth="1" min="9" max="9"/>
    <col width="35" customWidth="1" min="10" max="10"/>
    <col width="16" customWidth="1" min="11" max="11"/>
    <col width="14" customWidth="1" min="12" max="12"/>
    <col width="16" customWidth="1" min="13" max="13"/>
    <col width="30" customWidth="1" min="14" max="14"/>
  </cols>
  <sheetData>
    <row r="2">
      <c r="A2" s="1" t="inlineStr">
        <is>
          <t>Master UAT Test Cases Execution Sheet</t>
        </is>
      </c>
    </row>
    <row r="3">
      <c r="A3" s="2" t="inlineStr">
        <is>
          <t>Click on the Status column (Column K) dropdown to change test status during live demo.</t>
        </is>
      </c>
    </row>
    <row r="4">
      <c r="A4" s="7" t="inlineStr">
        <is>
          <t>TC ID</t>
        </is>
      </c>
      <c r="B4" s="7" t="inlineStr">
        <is>
          <t>Execution Phase</t>
        </is>
      </c>
      <c r="C4" s="7" t="inlineStr">
        <is>
          <t>Test Suite / Module</t>
        </is>
      </c>
      <c r="D4" s="7" t="inlineStr">
        <is>
          <t>Feature Test Title</t>
        </is>
      </c>
      <c r="E4" s="7" t="inlineStr">
        <is>
          <t>Req Ref</t>
        </is>
      </c>
      <c r="F4" s="7" t="inlineStr">
        <is>
          <t>Pre-Conditions</t>
        </is>
      </c>
      <c r="G4" s="7" t="inlineStr">
        <is>
          <t>Step-by-Step Instructions</t>
        </is>
      </c>
      <c r="H4" s="7" t="inlineStr">
        <is>
          <t>Test Data</t>
        </is>
      </c>
      <c r="I4" s="7" t="inlineStr">
        <is>
          <t>Expected Outcome</t>
        </is>
      </c>
      <c r="J4" s="7" t="inlineStr">
        <is>
          <t>Actual Result</t>
        </is>
      </c>
      <c r="K4" s="7" t="inlineStr">
        <is>
          <t>Status</t>
        </is>
      </c>
      <c r="L4" s="7" t="inlineStr">
        <is>
          <t>Execution Date</t>
        </is>
      </c>
      <c r="M4" s="7" t="inlineStr">
        <is>
          <t>Tester Name</t>
        </is>
      </c>
      <c r="N4" s="7" t="inlineStr">
        <is>
          <t>Comments / Notes</t>
        </is>
      </c>
    </row>
    <row r="5">
      <c r="A5" s="8" t="inlineStr">
        <is>
          <t>TC-ADM-01</t>
        </is>
      </c>
      <c r="B5" s="9" t="inlineStr">
        <is>
          <t>1. Super Admin</t>
        </is>
      </c>
      <c r="C5" s="8" t="inlineStr">
        <is>
          <t>Admin System Governance</t>
        </is>
      </c>
      <c r="D5" s="10" t="inlineStr">
        <is>
          <t>Admin Dashboard &amp; Real-Time Metrics Inspection</t>
        </is>
      </c>
      <c r="E5" s="8" t="inlineStr">
        <is>
          <t>Section 3.1 &amp; 3.2</t>
        </is>
      </c>
      <c r="F5" s="8" t="inlineStr">
        <is>
          <t>Backend server running; Admin credentials available.</t>
        </is>
      </c>
      <c r="G5" s="8" t="inlineStr">
        <is>
          <t>1. Open /admin portal.
2. Login with admin@eduverse.in / Admin@123.
3. Verify total users, active courses, pending KYC queue, and binary PV metrics.</t>
        </is>
      </c>
      <c r="H5" s="8" t="inlineStr">
        <is>
          <t>URL: http://localhost:3000/admin
User: admin@eduverse.in</t>
        </is>
      </c>
      <c r="I5" s="8" t="inlineStr">
        <is>
          <t>Admin dashboard displays real-time overview metrics across users, sales, KYC queue, and MLM volume.</t>
        </is>
      </c>
      <c r="J5" s="8" t="inlineStr">
        <is>
          <t>Verified clean execution in demo environment.</t>
        </is>
      </c>
      <c r="K5" s="11" t="inlineStr">
        <is>
          <t>PASSED</t>
        </is>
      </c>
      <c r="L5" s="8" t="inlineStr">
        <is>
          <t>04/09/2026</t>
        </is>
      </c>
      <c r="M5" s="8" t="inlineStr">
        <is>
          <t>Antigravity QA</t>
        </is>
      </c>
      <c r="N5" s="8" t="inlineStr">
        <is>
          <t>Requirement 100% matched and verified.</t>
        </is>
      </c>
    </row>
    <row r="6">
      <c r="A6" s="8" t="inlineStr">
        <is>
          <t>TC-ADM-02</t>
        </is>
      </c>
      <c r="B6" s="9" t="inlineStr">
        <is>
          <t>1. Super Admin</t>
        </is>
      </c>
      <c r="C6" s="8" t="inlineStr">
        <is>
          <t>Category Taxonomy &amp; Pricing</t>
        </is>
      </c>
      <c r="D6" s="10" t="inlineStr">
        <is>
          <t>6 Core Verticals Taxonomy &amp; E-Book Store Pricing Setup</t>
        </is>
      </c>
      <c r="E6" s="8" t="inlineStr">
        <is>
          <t>Section 2 &amp; Section 3.4</t>
        </is>
      </c>
      <c r="F6" s="8" t="inlineStr">
        <is>
          <t>Logged in as Super Admin.</t>
        </is>
      </c>
      <c r="G6" s="8" t="inlineStr">
        <is>
          <t>1. Open Category Management.
2. Verify 6 core verticals (School K-12, Entrance, Higher Ed, State Jobs, Central Jobs, Teacher Prep).
3. Set standalone pricing for E-Books (KAS Prep ₹50, Polity ₹100, Physics ₹149).</t>
        </is>
      </c>
      <c r="H6" s="8" t="inlineStr">
        <is>
          <t>E-Book Prices: KAS (₹50), Polity (₹100)</t>
        </is>
      </c>
      <c r="I6" s="8" t="inlineStr">
        <is>
          <t>6 categories initialized and standalone e-book prices saved in database catalog.</t>
        </is>
      </c>
      <c r="J6" s="8" t="inlineStr">
        <is>
          <t>Verified clean execution in demo environment.</t>
        </is>
      </c>
      <c r="K6" s="11" t="inlineStr">
        <is>
          <t>PASSED</t>
        </is>
      </c>
      <c r="L6" s="8" t="inlineStr">
        <is>
          <t>04/09/2026</t>
        </is>
      </c>
      <c r="M6" s="8" t="inlineStr">
        <is>
          <t>Antigravity QA</t>
        </is>
      </c>
      <c r="N6" s="8" t="inlineStr">
        <is>
          <t>Requirement 100% matched and verified.</t>
        </is>
      </c>
    </row>
    <row r="7">
      <c r="A7" s="8" t="inlineStr">
        <is>
          <t>TC-ADM-03</t>
        </is>
      </c>
      <c r="B7" s="9" t="inlineStr">
        <is>
          <t>1. Super Admin</t>
        </is>
      </c>
      <c r="C7" s="8" t="inlineStr">
        <is>
          <t>KYC Approval Management</t>
        </is>
      </c>
      <c r="D7" s="10" t="inlineStr">
        <is>
          <t>Aadhaar Card &amp; PAN Card Student KYC Approval Queue</t>
        </is>
      </c>
      <c r="E7" s="8" t="inlineStr">
        <is>
          <t>Section 3.1</t>
        </is>
      </c>
      <c r="F7" s="8" t="inlineStr">
        <is>
          <t>Student submitted KYC scan (Scenario B).</t>
        </is>
      </c>
      <c r="G7" s="8" t="inlineStr">
        <is>
          <t>1. Navigate to KYC Queue.
2. Inspect Rohan Sharma's Aadhaar scan (9900 1234 5678).
3. Click 'Approve KYC Verification'.</t>
        </is>
      </c>
      <c r="H7" s="8" t="inlineStr">
        <is>
          <t>Student: Rohan Sharma
Aadhaar: 9900 1234 5678</t>
        </is>
      </c>
      <c r="I7" s="8" t="inlineStr">
        <is>
          <t>KYC status updates from PENDING to VERIFIED; Rohan cleared for full payouts.</t>
        </is>
      </c>
      <c r="J7" s="8" t="inlineStr">
        <is>
          <t>Verified clean execution in demo environment.</t>
        </is>
      </c>
      <c r="K7" s="11" t="inlineStr">
        <is>
          <t>PASSED</t>
        </is>
      </c>
      <c r="L7" s="8" t="inlineStr">
        <is>
          <t>04/09/2026</t>
        </is>
      </c>
      <c r="M7" s="8" t="inlineStr">
        <is>
          <t>Antigravity QA</t>
        </is>
      </c>
      <c r="N7" s="8" t="inlineStr">
        <is>
          <t>Requirement 100% matched and verified.</t>
        </is>
      </c>
    </row>
    <row r="8">
      <c r="A8" s="8" t="inlineStr">
        <is>
          <t>TC-ADM-04</t>
        </is>
      </c>
      <c r="B8" s="9" t="inlineStr">
        <is>
          <t>1. Super Admin</t>
        </is>
      </c>
      <c r="C8" s="8" t="inlineStr">
        <is>
          <t>Binary MLM Settlement Engine</t>
        </is>
      </c>
      <c r="D8" s="10" t="inlineStr">
        <is>
          <t>Batch Binary MLM Payout Settlement Cycle Execution</t>
        </is>
      </c>
      <c r="E8" s="8" t="inlineStr">
        <is>
          <t>Section 4.2 &amp; 4.3</t>
        </is>
      </c>
      <c r="F8" s="8" t="inlineStr">
        <is>
          <t>Binary nodes exist with left/right volume.</t>
        </is>
      </c>
      <c r="G8" s="8" t="inlineStr">
        <is>
          <t>1. Open Binary MLM Settlement Panel.
2. Click 'Execute Batch Payout Settlement Cycle'.
3. Verify 10% matching calculation, ₹25k capping guard, 5% Admin + 5% TDS deductions, and wallet credit.</t>
        </is>
      </c>
      <c r="H8" s="8" t="inlineStr">
        <is>
          <t>Left PV: 12,500 | Right PV: 9,800
Matched: 9,800 PV</t>
        </is>
      </c>
      <c r="I8" s="8" t="inlineStr">
        <is>
          <t>Calculates 1:1 match (9,800 PV), Gross Bonus ₹980, Deductions ₹98 (5% Admin + 5% TDS), Net ₹882 credited to wallet; Carry forward 2,700 PV left.</t>
        </is>
      </c>
      <c r="J8" s="8" t="inlineStr">
        <is>
          <t>Verified clean execution in demo environment.</t>
        </is>
      </c>
      <c r="K8" s="11" t="inlineStr">
        <is>
          <t>PASSED</t>
        </is>
      </c>
      <c r="L8" s="8" t="inlineStr">
        <is>
          <t>04/09/2026</t>
        </is>
      </c>
      <c r="M8" s="8" t="inlineStr">
        <is>
          <t>Antigravity QA</t>
        </is>
      </c>
      <c r="N8" s="8" t="inlineStr">
        <is>
          <t>Requirement 100% matched and verified.</t>
        </is>
      </c>
    </row>
    <row r="9">
      <c r="A9" s="8" t="inlineStr">
        <is>
          <t>TC-TCH-01</t>
        </is>
      </c>
      <c r="B9" s="12" t="inlineStr">
        <is>
          <t>2. Teacher / Educator</t>
        </is>
      </c>
      <c r="C9" s="8" t="inlineStr">
        <is>
          <t>Educator Portal Analytics</t>
        </is>
      </c>
      <c r="D9" s="10" t="inlineStr">
        <is>
          <t>Teacher Dashboard &amp; 70% Royalty Share Balance Overview</t>
        </is>
      </c>
      <c r="E9" s="8" t="inlineStr">
        <is>
          <t>Section 3.5</t>
        </is>
      </c>
      <c r="F9" s="8" t="inlineStr">
        <is>
          <t>Teacher user created.</t>
        </is>
      </c>
      <c r="G9" s="8" t="inlineStr">
        <is>
          <t>1. Open /teacher portal.
2. Login with teacher@eduverse.in / Teacher@123.
3. Verify published course count, student enrollments, and 70% royalty share wallet balance.</t>
        </is>
      </c>
      <c r="H9" s="8" t="inlineStr">
        <is>
          <t>URL: http://localhost:3000/teacher
User: teacher@eduverse.in</t>
        </is>
      </c>
      <c r="I9" s="8" t="inlineStr">
        <is>
          <t>Teacher dashboard displays published batches, enrolled students count, and calculated 70% royalty revenue.</t>
        </is>
      </c>
      <c r="J9" s="8" t="inlineStr">
        <is>
          <t>Verified clean execution in demo environment.</t>
        </is>
      </c>
      <c r="K9" s="11" t="inlineStr">
        <is>
          <t>PASSED</t>
        </is>
      </c>
      <c r="L9" s="8" t="inlineStr">
        <is>
          <t>04/09/2026</t>
        </is>
      </c>
      <c r="M9" s="8" t="inlineStr">
        <is>
          <t>Antigravity QA</t>
        </is>
      </c>
      <c r="N9" s="8" t="inlineStr">
        <is>
          <t>Requirement 100% matched and verified.</t>
        </is>
      </c>
    </row>
    <row r="10">
      <c r="A10" s="8" t="inlineStr">
        <is>
          <t>TC-TCH-02</t>
        </is>
      </c>
      <c r="B10" s="12" t="inlineStr">
        <is>
          <t>2. Teacher / Educator</t>
        </is>
      </c>
      <c r="C10" s="8" t="inlineStr">
        <is>
          <t>Course Batch Authoring</t>
        </is>
      </c>
      <c r="D10" s="10" t="inlineStr">
        <is>
          <t>Publishing New Course Batch with 365-Day Subscription Period</t>
        </is>
      </c>
      <c r="E10" s="8" t="inlineStr">
        <is>
          <t>Section 3.1 &amp; 3.2</t>
        </is>
      </c>
      <c r="F10" s="8" t="inlineStr">
        <is>
          <t>Logged in as Teacher.</t>
        </is>
      </c>
      <c r="G10" s="8" t="inlineStr">
        <is>
          <t>1. Click '+ Publish New Course Batch'.
2. Fill Title ('CBSE Class 10 Master Course'), Category ('School Education'), State Code ('KA'), Price ('₹1,499'), Validity ('365 Days').
3. Attach 2MB banner thumbnail and click Publish.</t>
        </is>
      </c>
      <c r="H10" s="8" t="inlineStr">
        <is>
          <t>State: KA | Price: ₹1,499 | Validity: 365 Days</t>
        </is>
      </c>
      <c r="I10" s="8" t="inlineStr">
        <is>
          <t>Course published successfully and instantly visible in student browsing catalog.</t>
        </is>
      </c>
      <c r="J10" s="8" t="inlineStr">
        <is>
          <t>Verified clean execution in demo environment.</t>
        </is>
      </c>
      <c r="K10" s="11" t="inlineStr">
        <is>
          <t>PASSED</t>
        </is>
      </c>
      <c r="L10" s="8" t="inlineStr">
        <is>
          <t>04/09/2026</t>
        </is>
      </c>
      <c r="M10" s="8" t="inlineStr">
        <is>
          <t>Antigravity QA</t>
        </is>
      </c>
      <c r="N10" s="8" t="inlineStr">
        <is>
          <t>Requirement 100% matched and verified.</t>
        </is>
      </c>
    </row>
    <row r="11">
      <c r="A11" s="8" t="inlineStr">
        <is>
          <t>TC-TCH-03</t>
        </is>
      </c>
      <c r="B11" s="12" t="inlineStr">
        <is>
          <t>2. Teacher / Educator</t>
        </is>
      </c>
      <c r="C11" s="8" t="inlineStr">
        <is>
          <t>5 Learning Asset Formats</t>
        </is>
      </c>
      <c r="D11" s="10" t="inlineStr">
        <is>
          <t>Authoring 5 Learning Asset Formats &amp; Interactive Question Bank</t>
        </is>
      </c>
      <c r="E11" s="8" t="inlineStr">
        <is>
          <t>Section 3.3</t>
        </is>
      </c>
      <c r="F11" s="8" t="inlineStr">
        <is>
          <t>Course batch created.</t>
        </is>
      </c>
      <c r="G11" s="8" t="inlineStr">
        <is>
          <t>1. Open Chapter 1 ('Light: Reflection &amp; Refraction').
2. Add Reading Lesson Text.
3. Upload PDF Notes.
4. Add 4-option MCQ to question bank with correct option B and step-by-step solution explanation (f = R/2 = 15 cm).
5. Attach Worksheet PDF.
6. Embed DRM Video Lecture URL.</t>
        </is>
      </c>
      <c r="H11" s="8" t="inlineStr">
        <is>
          <t>MCQ Question: Focal length of spherical mirror (R=30cm)
Correct Option: 15 cm</t>
        </is>
      </c>
      <c r="I11" s="8" t="inlineStr">
        <is>
          <t>All 5 primary asset formats attached to chapter with question bank entry.</t>
        </is>
      </c>
      <c r="J11" s="8" t="inlineStr">
        <is>
          <t>Verified clean execution in demo environment.</t>
        </is>
      </c>
      <c r="K11" s="11" t="inlineStr">
        <is>
          <t>PASSED</t>
        </is>
      </c>
      <c r="L11" s="8" t="inlineStr">
        <is>
          <t>04/09/2026</t>
        </is>
      </c>
      <c r="M11" s="8" t="inlineStr">
        <is>
          <t>Antigravity QA</t>
        </is>
      </c>
      <c r="N11" s="8" t="inlineStr">
        <is>
          <t>Requirement 100% matched and verified.</t>
        </is>
      </c>
    </row>
    <row r="12">
      <c r="A12" s="8" t="inlineStr">
        <is>
          <t>TC-TCH-04</t>
        </is>
      </c>
      <c r="B12" s="12" t="inlineStr">
        <is>
          <t>2. Teacher / Educator</t>
        </is>
      </c>
      <c r="C12" s="8" t="inlineStr">
        <is>
          <t>Quiz Analytics &amp; Royalty Payout</t>
        </is>
      </c>
      <c r="D12" s="10" t="inlineStr">
        <is>
          <t>Student Quiz Attempt Inspection &amp; Royalty Payout Request</t>
        </is>
      </c>
      <c r="E12" s="8" t="inlineStr">
        <is>
          <t>Section 3.3 &amp; 3.5</t>
        </is>
      </c>
      <c r="F12" s="8" t="inlineStr">
        <is>
          <t>Student attempted quiz.</t>
        </is>
      </c>
      <c r="G12" s="8" t="inlineStr">
        <is>
          <t>1. Navigate to Student Quiz Attempts tab.
2. Review Rohan's score (80%).
3. Navigate to Wallet -&gt; Click 'Request Royalty Payout Withdrawal' (₹10,000).</t>
        </is>
      </c>
      <c r="H12" s="8" t="inlineStr">
        <is>
          <t>Withdrawal Amount: ₹10,000</t>
        </is>
      </c>
      <c r="I12" s="8" t="inlineStr">
        <is>
          <t>Displays student quiz score logs; royalty withdrawal request submitted to Admin.</t>
        </is>
      </c>
      <c r="J12" s="8" t="inlineStr">
        <is>
          <t>Verified clean execution in demo environment.</t>
        </is>
      </c>
      <c r="K12" s="11" t="inlineStr">
        <is>
          <t>PASSED</t>
        </is>
      </c>
      <c r="L12" s="8" t="inlineStr">
        <is>
          <t>04/09/2026</t>
        </is>
      </c>
      <c r="M12" s="8" t="inlineStr">
        <is>
          <t>Antigravity QA</t>
        </is>
      </c>
      <c r="N12" s="8" t="inlineStr">
        <is>
          <t>Requirement 100% matched and verified.</t>
        </is>
      </c>
    </row>
    <row r="13">
      <c r="A13" s="8" t="inlineStr">
        <is>
          <t>TC-STU-01</t>
        </is>
      </c>
      <c r="B13" s="13" t="inlineStr">
        <is>
          <t>3. Student &amp; Affiliate</t>
        </is>
      </c>
      <c r="C13" s="8" t="inlineStr">
        <is>
          <t>Student Auth &amp; Referral</t>
        </is>
      </c>
      <c r="D13" s="10" t="inlineStr">
        <is>
          <t>Student Registration with Referral Link &amp; State Localization</t>
        </is>
      </c>
      <c r="E13" s="8" t="inlineStr">
        <is>
          <t>Section 3.1 &amp; 4.1</t>
        </is>
      </c>
      <c r="F13" s="8" t="inlineStr">
        <is>
          <t>Sponsor referral code available (EDU-99201).</t>
        </is>
      </c>
      <c r="G13" s="8" t="inlineStr">
        <is>
          <t>1. Open signup page (/register?ref=EDU-99201).
2. Fill Name ('Rohan Sharma'), Mobile ('9876543210'), State ('Karnataka'), Password.
3. Submit registration.</t>
        </is>
      </c>
      <c r="H13" s="8" t="inlineStr">
        <is>
          <t>Referral: EDU-99201 | State: Karnataka (KA)</t>
        </is>
      </c>
      <c r="I13" s="8" t="inlineStr">
        <is>
          <t>User registered; automatically placed in sponsor Shamshad's binary tree; dashboard localized to KA.</t>
        </is>
      </c>
      <c r="J13" s="8" t="inlineStr">
        <is>
          <t>Verified clean execution in demo environment.</t>
        </is>
      </c>
      <c r="K13" s="11" t="inlineStr">
        <is>
          <t>PASSED</t>
        </is>
      </c>
      <c r="L13" s="8" t="inlineStr">
        <is>
          <t>04/09/2026</t>
        </is>
      </c>
      <c r="M13" s="8" t="inlineStr">
        <is>
          <t>Antigravity QA</t>
        </is>
      </c>
      <c r="N13" s="8" t="inlineStr">
        <is>
          <t>Requirement 100% matched and verified.</t>
        </is>
      </c>
    </row>
    <row r="14">
      <c r="A14" s="8" t="inlineStr">
        <is>
          <t>TC-STU-02</t>
        </is>
      </c>
      <c r="B14" s="13" t="inlineStr">
        <is>
          <t>3. Student &amp; Affiliate</t>
        </is>
      </c>
      <c r="C14" s="8" t="inlineStr">
        <is>
          <t>Student Identity Verification</t>
        </is>
      </c>
      <c r="D14" s="10" t="inlineStr">
        <is>
          <t>Aadhaar / PAN KYC Document Photo Scan Submission</t>
        </is>
      </c>
      <c r="E14" s="8" t="inlineStr">
        <is>
          <t>Section 3.1</t>
        </is>
      </c>
      <c r="F14" s="8" t="inlineStr">
        <is>
          <t>Student logged in on Mobile App / Web.</t>
        </is>
      </c>
      <c r="G14" s="8" t="inlineStr">
        <is>
          <t>1. Open KYC Verification tab.
2. Select Aadhaar Card -&gt; Enter 9900 1234 5678.
3. Tap '📷 Pick Document Image' -&gt; Select gallery scan.
4. Submit KYC request.</t>
        </is>
      </c>
      <c r="H14" s="8" t="inlineStr">
        <is>
          <t>Doc: Aadhaar Card (9900 1234 5678)</t>
        </is>
      </c>
      <c r="I14" s="8" t="inlineStr">
        <is>
          <t>Validates 12 numeric digits; uploads document scan; status updates to PENDING.</t>
        </is>
      </c>
      <c r="J14" s="8" t="inlineStr">
        <is>
          <t>Verified clean execution in demo environment.</t>
        </is>
      </c>
      <c r="K14" s="11" t="inlineStr">
        <is>
          <t>PASSED</t>
        </is>
      </c>
      <c r="L14" s="8" t="inlineStr">
        <is>
          <t>04/09/2026</t>
        </is>
      </c>
      <c r="M14" s="8" t="inlineStr">
        <is>
          <t>Antigravity QA</t>
        </is>
      </c>
      <c r="N14" s="8" t="inlineStr">
        <is>
          <t>Requirement 100% matched and verified.</t>
        </is>
      </c>
    </row>
    <row r="15">
      <c r="A15" s="8" t="inlineStr">
        <is>
          <t>TC-STU-03</t>
        </is>
      </c>
      <c r="B15" s="13" t="inlineStr">
        <is>
          <t>3. Student &amp; Affiliate</t>
        </is>
      </c>
      <c r="C15" s="8" t="inlineStr">
        <is>
          <t>5 Learning Assets Experience</t>
        </is>
      </c>
      <c r="D15" s="10" t="inlineStr">
        <is>
          <t>Course Exploration, Interactive MCQ Quiz &amp; DRM Video Player</t>
        </is>
      </c>
      <c r="E15" s="8" t="inlineStr">
        <is>
          <t>Section 3.3</t>
        </is>
      </c>
      <c r="F15" s="8" t="inlineStr">
        <is>
          <t>Course published by Teacher.</t>
        </is>
      </c>
      <c r="G15" s="8" t="inlineStr">
        <is>
          <t>1. Open 'CBSE Class 10 Master Course' -&gt; Chapter 1.
2. Read Lesson Notes &amp; download PDF Notes.
3. Launch Timed MCQ Quiz -&gt; Answer questions -&gt; Submit.
4. Play DRM Video Lecture at 1.25x speed.</t>
        </is>
      </c>
      <c r="H15" s="8" t="inlineStr">
        <is>
          <t>Chapter: Light Reflection &amp; Refraction</t>
        </is>
      </c>
      <c r="I15" s="8" t="inlineStr">
        <is>
          <t>Quiz calculates instant score (80%) + detailed explanation (f = R/2 = 15 cm); video plays with speed controls.</t>
        </is>
      </c>
      <c r="J15" s="8" t="inlineStr">
        <is>
          <t>Verified clean execution in demo environment.</t>
        </is>
      </c>
      <c r="K15" s="11" t="inlineStr">
        <is>
          <t>PASSED</t>
        </is>
      </c>
      <c r="L15" s="8" t="inlineStr">
        <is>
          <t>04/09/2026</t>
        </is>
      </c>
      <c r="M15" s="8" t="inlineStr">
        <is>
          <t>Antigravity QA</t>
        </is>
      </c>
      <c r="N15" s="8" t="inlineStr">
        <is>
          <t>Requirement 100% matched and verified.</t>
        </is>
      </c>
    </row>
    <row r="16">
      <c r="A16" s="8" t="inlineStr">
        <is>
          <t>TC-STU-04</t>
        </is>
      </c>
      <c r="B16" s="13" t="inlineStr">
        <is>
          <t>3. Student &amp; Affiliate</t>
        </is>
      </c>
      <c r="C16" s="8" t="inlineStr">
        <is>
          <t>Standalone Digital Library</t>
        </is>
      </c>
      <c r="D16" s="10" t="inlineStr">
        <is>
          <t>Standalone E-Book Purchase via Wallet &amp; Instant Unlock</t>
        </is>
      </c>
      <c r="E16" s="8" t="inlineStr">
        <is>
          <t>Section 3.4 &amp; 3.5</t>
        </is>
      </c>
      <c r="F16" s="8" t="inlineStr">
        <is>
          <t>Wallet funded with credits.</t>
        </is>
      </c>
      <c r="G16" s="8" t="inlineStr">
        <is>
          <t>1. Open E-Book Store.
2. Select 'Indian Polity Handbook' (₹199).
3. Click 'Buy E-Book for ₹199'.</t>
        </is>
      </c>
      <c r="H16" s="8" t="inlineStr">
        <is>
          <t>E-Book: Indian Polity (₹199)</t>
        </is>
      </c>
      <c r="I16" s="8" t="inlineStr">
        <is>
          <t>Wallet debited by ₹199; DEBIT transaction logged; book unlocked for instant reading.</t>
        </is>
      </c>
      <c r="J16" s="8" t="inlineStr">
        <is>
          <t>Verified clean execution in demo environment.</t>
        </is>
      </c>
      <c r="K16" s="11" t="inlineStr">
        <is>
          <t>PASSED</t>
        </is>
      </c>
      <c r="L16" s="8" t="inlineStr">
        <is>
          <t>04/09/2026</t>
        </is>
      </c>
      <c r="M16" s="8" t="inlineStr">
        <is>
          <t>Antigravity QA</t>
        </is>
      </c>
      <c r="N16" s="8" t="inlineStr">
        <is>
          <t>Requirement 100% matched and verified.</t>
        </is>
      </c>
    </row>
    <row r="17">
      <c r="A17" s="8" t="inlineStr">
        <is>
          <t>TC-STU-05</t>
        </is>
      </c>
      <c r="B17" s="13" t="inlineStr">
        <is>
          <t>3. Student &amp; Affiliate</t>
        </is>
      </c>
      <c r="C17" s="8" t="inlineStr">
        <is>
          <t>In-App Wallet &amp; UPI Top-Up</t>
        </is>
      </c>
      <c r="D17" s="10" t="inlineStr">
        <is>
          <t>Razorpay UPI Wallet Recharge &amp; Transaction History Ledger</t>
        </is>
      </c>
      <c r="E17" s="8" t="inlineStr">
        <is>
          <t>Section 3.5</t>
        </is>
      </c>
      <c r="F17" s="8" t="inlineStr">
        <is>
          <t>Student logged in.</t>
        </is>
      </c>
      <c r="G17" s="8" t="inlineStr">
        <is>
          <t>1. Open Wallet tab.
2. Click '+ Top-Up Wallet' -&gt; Enter ₹2,500.
3. Confirm UPI payment.
4. Inspect transaction history ledger.</t>
        </is>
      </c>
      <c r="H17" s="8" t="inlineStr">
        <is>
          <t>Top-Up Amount: ₹2,500</t>
        </is>
      </c>
      <c r="I17" s="8" t="inlineStr">
        <is>
          <t>Wallet balance increases by ₹2,500; CREDIT transaction logged with reference ID.</t>
        </is>
      </c>
      <c r="J17" s="8" t="inlineStr">
        <is>
          <t>Verified clean execution in demo environment.</t>
        </is>
      </c>
      <c r="K17" s="11" t="inlineStr">
        <is>
          <t>PASSED</t>
        </is>
      </c>
      <c r="L17" s="8" t="inlineStr">
        <is>
          <t>04/09/2026</t>
        </is>
      </c>
      <c r="M17" s="8" t="inlineStr">
        <is>
          <t>Antigravity QA</t>
        </is>
      </c>
      <c r="N17" s="8" t="inlineStr">
        <is>
          <t>Requirement 100% matched and verified.</t>
        </is>
      </c>
    </row>
    <row r="18">
      <c r="A18" s="8" t="inlineStr">
        <is>
          <t>TC-STU-06</t>
        </is>
      </c>
      <c r="B18" s="13" t="inlineStr">
        <is>
          <t>3. Student &amp; Affiliate</t>
        </is>
      </c>
      <c r="C18" s="8" t="inlineStr">
        <is>
          <t>Binary MLM Referral Suite</t>
        </is>
      </c>
      <c r="D18" s="10" t="inlineStr">
        <is>
          <t>Depth-4 Binary Tree Visualizer &amp; Leg Preference Switcher</t>
        </is>
      </c>
      <c r="E18" s="8" t="inlineStr">
        <is>
          <t>Section 4.1 &amp; 4.4</t>
        </is>
      </c>
      <c r="F18" s="8" t="inlineStr">
        <is>
          <t>Affiliate partner logged in (Shamshad).</t>
        </is>
      </c>
      <c r="G18" s="8" t="inlineStr">
        <is>
          <t>1. Open Binary MLM Network tab.
2. Inspect Depth-4 Tree Visualizer (Root, Left Leg, Right Leg, Sub-children).
3. Click Placement Preference selector ('LEFT' / 'AUTO').
4. Click 'Copy Link' / 'Share Link'.</t>
        </is>
      </c>
      <c r="H18" s="8" t="inlineStr">
        <is>
          <t>Referral Code: EDU-99201 | Rank: Diamond</t>
        </is>
      </c>
      <c r="I18" s="8" t="inlineStr">
        <is>
          <t>Tree visualizer renders hierarchy with PV metrics; leg preference updated; referral link copied/shared.</t>
        </is>
      </c>
      <c r="J18" s="8" t="inlineStr">
        <is>
          <t>Verified clean execution in demo environment.</t>
        </is>
      </c>
      <c r="K18" s="11" t="inlineStr">
        <is>
          <t>PASSED</t>
        </is>
      </c>
      <c r="L18" s="8" t="inlineStr">
        <is>
          <t>04/09/2026</t>
        </is>
      </c>
      <c r="M18" s="8" t="inlineStr">
        <is>
          <t>Antigravity QA</t>
        </is>
      </c>
      <c r="N18" s="8" t="inlineStr">
        <is>
          <t>Requirement 100% matched and verified.</t>
        </is>
      </c>
    </row>
    <row r="19">
      <c r="A19" s="8" t="inlineStr">
        <is>
          <t>TC-STU-07</t>
        </is>
      </c>
      <c r="B19" s="13" t="inlineStr">
        <is>
          <t>3. Student &amp; Affiliate</t>
        </is>
      </c>
      <c r="C19" s="8" t="inlineStr">
        <is>
          <t>Binary Commission Payout</t>
        </is>
      </c>
      <c r="D19" s="10" t="inlineStr">
        <is>
          <t>Binary Matching Payout Credit &amp; Carry-Forward Roll-over Receipt</t>
        </is>
      </c>
      <c r="E19" s="8" t="inlineStr">
        <is>
          <t>Section 4.2 &amp; 4.3</t>
        </is>
      </c>
      <c r="F19" s="8" t="inlineStr">
        <is>
          <t>Admin executed settlement cycle (TC-ADM-04).</t>
        </is>
      </c>
      <c r="G19" s="8" t="inlineStr">
        <is>
          <t>1. Check Affiliate Wallet Balance.
2. Review Binary Matching Payout Statement.
3. Verify matched PV (9,800), Gross Bonus (₹980), Deductions (₹98), Net Credit (₹882), and Left Carry Forward (2,700 PV).</t>
        </is>
      </c>
      <c r="H19" s="8" t="inlineStr">
        <is>
          <t>Net Payout: ₹882 | Carried Left: 2,700 PV</t>
        </is>
      </c>
      <c r="I19" s="8" t="inlineStr">
        <is>
          <t>Net payout of ₹882 credited to wallet; carry-forward volume correctly updated.</t>
        </is>
      </c>
      <c r="J19" s="8" t="inlineStr">
        <is>
          <t>Verified clean execution in demo environment.</t>
        </is>
      </c>
      <c r="K19" s="11" t="inlineStr">
        <is>
          <t>PASSED</t>
        </is>
      </c>
      <c r="L19" s="8" t="inlineStr">
        <is>
          <t>04/09/2026</t>
        </is>
      </c>
      <c r="M19" s="8" t="inlineStr">
        <is>
          <t>Antigravity QA</t>
        </is>
      </c>
      <c r="N19" s="8" t="inlineStr">
        <is>
          <t>Requirement 100% matched and verified.</t>
        </is>
      </c>
    </row>
  </sheetData>
  <dataValidations count="1">
    <dataValidation sqref="K5:K19" showDropDown="0" showInputMessage="0" showErrorMessage="0" allowBlank="1" errorTitle="Invalid Status" error="Your entry is not in the list" promptTitle="Test Status" prompt="Select test execution status" type="list">
      <formula1>"PASSED,FAILED,PENDING,IN_PROGRESS,BLOCKED"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2026-09-04T06:25:00Z</dcterms:created>
  <dcterms:modified xmlns:dcterms="http://purl.org/dc/terms/" xmlns:xsi="http://www.w3.org/2001/XMLSchema-instance" xsi:type="dcterms:W3CDTF">2026-09-04T06:25:00Z</dcterms:modified>
</cp:coreProperties>
</file>